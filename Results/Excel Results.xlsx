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2par\Desktop\FantASM\benchmark\"/>
    </mc:Choice>
  </mc:AlternateContent>
  <xr:revisionPtr revIDLastSave="0" documentId="13_ncr:1_{1D801EE4-E237-4EB3-9D15-E1458B5A2E8B}" xr6:coauthVersionLast="47" xr6:coauthVersionMax="47" xr10:uidLastSave="{00000000-0000-0000-0000-000000000000}"/>
  <bookViews>
    <workbookView xWindow="-120" yWindow="-120" windowWidth="29040" windowHeight="15720" activeTab="2" xr2:uid="{22F3B599-5337-4295-B503-742C0F658B3B}"/>
  </bookViews>
  <sheets>
    <sheet name="results_unroll_2_aug11" sheetId="11" r:id="rId1"/>
    <sheet name="results_unroll_2_aug13" sheetId="12" r:id="rId2"/>
    <sheet name="results_unroll_2 aug19" sheetId="14" r:id="rId3"/>
  </sheets>
  <definedNames>
    <definedName name="ExternalData_1" localSheetId="0" hidden="1">results_unroll_2_aug11!$A$1:$D$70</definedName>
    <definedName name="ExternalData_1" localSheetId="1" hidden="1">results_unroll_2_aug13!$A$1:$D$60</definedName>
    <definedName name="ExternalData_2" localSheetId="2" hidden="1">'results_unroll_2 aug19'!$A$1:$C$54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54" i="14" l="1"/>
  <c r="R53" i="14"/>
  <c r="R52" i="14"/>
  <c r="R51" i="14"/>
  <c r="R50" i="14"/>
  <c r="R49" i="14"/>
  <c r="R48" i="14"/>
  <c r="R47" i="14"/>
  <c r="R46" i="14"/>
  <c r="R45" i="14"/>
  <c r="R44" i="14"/>
  <c r="R43" i="14"/>
  <c r="R42" i="14"/>
  <c r="R41" i="14"/>
  <c r="R40" i="14"/>
  <c r="R39" i="14"/>
  <c r="R38" i="14"/>
  <c r="R37" i="14"/>
  <c r="R36" i="14"/>
  <c r="R35" i="14"/>
  <c r="R34" i="14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0" i="14"/>
  <c r="R18" i="14"/>
  <c r="R17" i="14"/>
  <c r="R16" i="14"/>
  <c r="R15" i="14"/>
  <c r="R14" i="14"/>
  <c r="R13" i="14"/>
  <c r="R12" i="14"/>
  <c r="R11" i="14"/>
  <c r="R9" i="14"/>
  <c r="R8" i="14"/>
  <c r="R7" i="14"/>
  <c r="R6" i="14"/>
  <c r="R5" i="14"/>
  <c r="R4" i="14"/>
  <c r="R3" i="14"/>
  <c r="R2" i="14"/>
  <c r="P2" i="12"/>
  <c r="O2" i="12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2" i="12"/>
  <c r="M4" i="14"/>
  <c r="N4" i="14" s="1"/>
  <c r="M6" i="14"/>
  <c r="N6" i="14" s="1"/>
  <c r="M8" i="14"/>
  <c r="N8" i="14" s="1"/>
  <c r="M10" i="14"/>
  <c r="N10" i="14" s="1"/>
  <c r="M12" i="14"/>
  <c r="N12" i="14" s="1"/>
  <c r="M14" i="14"/>
  <c r="N14" i="14" s="1"/>
  <c r="M16" i="14"/>
  <c r="N16" i="14" s="1"/>
  <c r="M18" i="14"/>
  <c r="N18" i="14" s="1"/>
  <c r="M20" i="14"/>
  <c r="N20" i="14" s="1"/>
  <c r="M22" i="14"/>
  <c r="N22" i="14" s="1"/>
  <c r="M24" i="14"/>
  <c r="N24" i="14" s="1"/>
  <c r="M26" i="14"/>
  <c r="N26" i="14" s="1"/>
  <c r="M28" i="14"/>
  <c r="N28" i="14" s="1"/>
  <c r="M30" i="14"/>
  <c r="N30" i="14" s="1"/>
  <c r="M32" i="14"/>
  <c r="N32" i="14" s="1"/>
  <c r="M34" i="14"/>
  <c r="N34" i="14" s="1"/>
  <c r="M36" i="14"/>
  <c r="N36" i="14" s="1"/>
  <c r="M38" i="14"/>
  <c r="N38" i="14" s="1"/>
  <c r="M40" i="14"/>
  <c r="N40" i="14" s="1"/>
  <c r="M42" i="14"/>
  <c r="N42" i="14" s="1"/>
  <c r="M44" i="14"/>
  <c r="N44" i="14" s="1"/>
  <c r="M46" i="14"/>
  <c r="N46" i="14" s="1"/>
  <c r="M48" i="14"/>
  <c r="N48" i="14" s="1"/>
  <c r="M50" i="14"/>
  <c r="N50" i="14" s="1"/>
  <c r="M52" i="14"/>
  <c r="N52" i="14" s="1"/>
  <c r="M54" i="14"/>
  <c r="N54" i="14" s="1"/>
  <c r="K43" i="14"/>
  <c r="J43" i="14"/>
  <c r="K31" i="14"/>
  <c r="J31" i="14"/>
  <c r="K19" i="14"/>
  <c r="J19" i="14"/>
  <c r="K2" i="14"/>
  <c r="J2" i="14"/>
  <c r="E3" i="14"/>
  <c r="M3" i="14" s="1"/>
  <c r="N3" i="14" s="1"/>
  <c r="E4" i="14"/>
  <c r="E5" i="14"/>
  <c r="M5" i="14" s="1"/>
  <c r="N5" i="14" s="1"/>
  <c r="E6" i="14"/>
  <c r="E7" i="14"/>
  <c r="M7" i="14" s="1"/>
  <c r="N7" i="14" s="1"/>
  <c r="E8" i="14"/>
  <c r="E9" i="14"/>
  <c r="M9" i="14" s="1"/>
  <c r="N9" i="14" s="1"/>
  <c r="E10" i="14"/>
  <c r="E11" i="14"/>
  <c r="M11" i="14" s="1"/>
  <c r="N11" i="14" s="1"/>
  <c r="E12" i="14"/>
  <c r="E13" i="14"/>
  <c r="M13" i="14" s="1"/>
  <c r="N13" i="14" s="1"/>
  <c r="E14" i="14"/>
  <c r="E15" i="14"/>
  <c r="M15" i="14" s="1"/>
  <c r="N15" i="14" s="1"/>
  <c r="E16" i="14"/>
  <c r="E17" i="14"/>
  <c r="M17" i="14" s="1"/>
  <c r="N17" i="14" s="1"/>
  <c r="E18" i="14"/>
  <c r="E19" i="14"/>
  <c r="M19" i="14" s="1"/>
  <c r="N19" i="14" s="1"/>
  <c r="E20" i="14"/>
  <c r="E21" i="14"/>
  <c r="M21" i="14" s="1"/>
  <c r="N21" i="14" s="1"/>
  <c r="E22" i="14"/>
  <c r="E23" i="14"/>
  <c r="M23" i="14" s="1"/>
  <c r="N23" i="14" s="1"/>
  <c r="E24" i="14"/>
  <c r="E25" i="14"/>
  <c r="M25" i="14" s="1"/>
  <c r="N25" i="14" s="1"/>
  <c r="E26" i="14"/>
  <c r="E27" i="14"/>
  <c r="M27" i="14" s="1"/>
  <c r="N27" i="14" s="1"/>
  <c r="E28" i="14"/>
  <c r="E29" i="14"/>
  <c r="M29" i="14" s="1"/>
  <c r="N29" i="14" s="1"/>
  <c r="E30" i="14"/>
  <c r="E31" i="14"/>
  <c r="F31" i="14" s="1"/>
  <c r="E32" i="14"/>
  <c r="E33" i="14"/>
  <c r="M33" i="14" s="1"/>
  <c r="N33" i="14" s="1"/>
  <c r="E34" i="14"/>
  <c r="E35" i="14"/>
  <c r="M35" i="14" s="1"/>
  <c r="N35" i="14" s="1"/>
  <c r="E36" i="14"/>
  <c r="E37" i="14"/>
  <c r="M37" i="14" s="1"/>
  <c r="N37" i="14" s="1"/>
  <c r="E38" i="14"/>
  <c r="E39" i="14"/>
  <c r="M39" i="14" s="1"/>
  <c r="N39" i="14" s="1"/>
  <c r="E40" i="14"/>
  <c r="E41" i="14"/>
  <c r="M41" i="14" s="1"/>
  <c r="N41" i="14" s="1"/>
  <c r="E42" i="14"/>
  <c r="E43" i="14"/>
  <c r="M43" i="14" s="1"/>
  <c r="N43" i="14" s="1"/>
  <c r="E44" i="14"/>
  <c r="E45" i="14"/>
  <c r="M45" i="14" s="1"/>
  <c r="N45" i="14" s="1"/>
  <c r="E46" i="14"/>
  <c r="E47" i="14"/>
  <c r="M47" i="14" s="1"/>
  <c r="N47" i="14" s="1"/>
  <c r="E48" i="14"/>
  <c r="E49" i="14"/>
  <c r="M49" i="14" s="1"/>
  <c r="N49" i="14" s="1"/>
  <c r="E50" i="14"/>
  <c r="E51" i="14"/>
  <c r="M51" i="14" s="1"/>
  <c r="N51" i="14" s="1"/>
  <c r="E52" i="14"/>
  <c r="E53" i="14"/>
  <c r="M53" i="14" s="1"/>
  <c r="N53" i="14" s="1"/>
  <c r="E54" i="14"/>
  <c r="E2" i="14"/>
  <c r="G2" i="14" s="1"/>
  <c r="L38" i="12"/>
  <c r="L26" i="12"/>
  <c r="L14" i="12"/>
  <c r="L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2" i="12"/>
  <c r="G14" i="12"/>
  <c r="G26" i="12"/>
  <c r="G38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6" i="12"/>
  <c r="F57" i="12"/>
  <c r="F58" i="12"/>
  <c r="F59" i="12"/>
  <c r="F2" i="12"/>
  <c r="O132" i="11"/>
  <c r="O133" i="11"/>
  <c r="O134" i="11"/>
  <c r="O135" i="11"/>
  <c r="O136" i="11"/>
  <c r="O131" i="11"/>
  <c r="F71" i="11"/>
  <c r="B71" i="11"/>
  <c r="U14" i="11"/>
  <c r="U21" i="11"/>
  <c r="U22" i="11"/>
  <c r="U45" i="11"/>
  <c r="T39" i="11"/>
  <c r="T40" i="11"/>
  <c r="T41" i="11"/>
  <c r="T42" i="11"/>
  <c r="T43" i="11"/>
  <c r="T44" i="11"/>
  <c r="T45" i="11"/>
  <c r="T46" i="11"/>
  <c r="T47" i="11"/>
  <c r="T48" i="11"/>
  <c r="T49" i="11"/>
  <c r="T38" i="11"/>
  <c r="T27" i="11"/>
  <c r="T28" i="11"/>
  <c r="T29" i="11"/>
  <c r="T30" i="11"/>
  <c r="T31" i="11"/>
  <c r="T32" i="11"/>
  <c r="T33" i="11"/>
  <c r="T34" i="11"/>
  <c r="T35" i="11"/>
  <c r="T36" i="11"/>
  <c r="T37" i="11"/>
  <c r="T26" i="11"/>
  <c r="T15" i="11"/>
  <c r="T16" i="11"/>
  <c r="T17" i="11"/>
  <c r="T18" i="11"/>
  <c r="T19" i="11"/>
  <c r="T20" i="11"/>
  <c r="T21" i="11"/>
  <c r="T22" i="11"/>
  <c r="T23" i="11"/>
  <c r="T24" i="11"/>
  <c r="T25" i="11"/>
  <c r="T14" i="11"/>
  <c r="T3" i="11"/>
  <c r="T4" i="11"/>
  <c r="T5" i="11"/>
  <c r="T6" i="11"/>
  <c r="T7" i="11"/>
  <c r="T8" i="11"/>
  <c r="T9" i="11"/>
  <c r="T10" i="11"/>
  <c r="T11" i="11"/>
  <c r="T12" i="11"/>
  <c r="T13" i="11"/>
  <c r="T2" i="11"/>
  <c r="J27" i="11"/>
  <c r="K27" i="11"/>
  <c r="L27" i="11"/>
  <c r="J28" i="11"/>
  <c r="K28" i="11"/>
  <c r="L28" i="11"/>
  <c r="J29" i="11"/>
  <c r="K29" i="11"/>
  <c r="L29" i="11"/>
  <c r="J30" i="11"/>
  <c r="K30" i="11"/>
  <c r="L30" i="11"/>
  <c r="J31" i="11"/>
  <c r="K31" i="11"/>
  <c r="L31" i="11"/>
  <c r="J32" i="11"/>
  <c r="K32" i="11"/>
  <c r="L32" i="11"/>
  <c r="J33" i="11"/>
  <c r="K33" i="11"/>
  <c r="L33" i="11"/>
  <c r="J34" i="11"/>
  <c r="K34" i="11"/>
  <c r="L34" i="11"/>
  <c r="J35" i="11"/>
  <c r="K35" i="11"/>
  <c r="L35" i="11"/>
  <c r="J36" i="11"/>
  <c r="K36" i="11"/>
  <c r="L36" i="11"/>
  <c r="J37" i="11"/>
  <c r="K37" i="11"/>
  <c r="L37" i="11"/>
  <c r="J39" i="11"/>
  <c r="K39" i="11"/>
  <c r="L39" i="11"/>
  <c r="J40" i="11"/>
  <c r="K40" i="11"/>
  <c r="L40" i="11"/>
  <c r="J41" i="11"/>
  <c r="K41" i="11"/>
  <c r="L41" i="11"/>
  <c r="J42" i="11"/>
  <c r="K42" i="11"/>
  <c r="L42" i="11"/>
  <c r="J43" i="11"/>
  <c r="K43" i="11"/>
  <c r="L43" i="11"/>
  <c r="J44" i="11"/>
  <c r="K44" i="11"/>
  <c r="L44" i="11"/>
  <c r="J45" i="11"/>
  <c r="K45" i="11"/>
  <c r="L45" i="11"/>
  <c r="J46" i="11"/>
  <c r="K46" i="11"/>
  <c r="L46" i="11"/>
  <c r="J47" i="11"/>
  <c r="K47" i="11"/>
  <c r="L47" i="11"/>
  <c r="J48" i="11"/>
  <c r="K48" i="11"/>
  <c r="L48" i="11"/>
  <c r="J49" i="11"/>
  <c r="K49" i="11"/>
  <c r="L49" i="11"/>
  <c r="L38" i="11"/>
  <c r="K38" i="11"/>
  <c r="J38" i="11"/>
  <c r="L26" i="11"/>
  <c r="K26" i="11"/>
  <c r="J26" i="11"/>
  <c r="J15" i="11"/>
  <c r="K15" i="11"/>
  <c r="L15" i="11"/>
  <c r="J16" i="11"/>
  <c r="K16" i="11"/>
  <c r="L16" i="11"/>
  <c r="J17" i="11"/>
  <c r="K17" i="11"/>
  <c r="L17" i="11"/>
  <c r="J18" i="11"/>
  <c r="K18" i="11"/>
  <c r="L18" i="11"/>
  <c r="J19" i="11"/>
  <c r="K19" i="11"/>
  <c r="L19" i="11"/>
  <c r="J20" i="11"/>
  <c r="K20" i="11"/>
  <c r="L20" i="11"/>
  <c r="J21" i="11"/>
  <c r="K21" i="11"/>
  <c r="L21" i="11"/>
  <c r="J22" i="11"/>
  <c r="K22" i="11"/>
  <c r="L22" i="11"/>
  <c r="N22" i="11"/>
  <c r="J23" i="11"/>
  <c r="K23" i="11"/>
  <c r="L23" i="11"/>
  <c r="J24" i="11"/>
  <c r="K24" i="11"/>
  <c r="L24" i="11"/>
  <c r="J25" i="11"/>
  <c r="K25" i="11"/>
  <c r="L25" i="11"/>
  <c r="L14" i="11"/>
  <c r="K14" i="11"/>
  <c r="J14" i="11"/>
  <c r="N6" i="11"/>
  <c r="N7" i="11"/>
  <c r="G64" i="11"/>
  <c r="R64" i="11" s="1"/>
  <c r="G65" i="11"/>
  <c r="R65" i="11" s="1"/>
  <c r="G66" i="11"/>
  <c r="G63" i="11"/>
  <c r="R63" i="11" s="1"/>
  <c r="F64" i="11"/>
  <c r="F65" i="11"/>
  <c r="F66" i="11"/>
  <c r="F63" i="11"/>
  <c r="J3" i="11"/>
  <c r="K3" i="11"/>
  <c r="L3" i="11"/>
  <c r="J4" i="11"/>
  <c r="K4" i="11"/>
  <c r="L4" i="11"/>
  <c r="J5" i="11"/>
  <c r="K5" i="11"/>
  <c r="L5" i="11"/>
  <c r="J6" i="11"/>
  <c r="K6" i="11"/>
  <c r="L6" i="11"/>
  <c r="J7" i="11"/>
  <c r="K7" i="11"/>
  <c r="L7" i="11"/>
  <c r="J8" i="11"/>
  <c r="K8" i="11"/>
  <c r="L8" i="11"/>
  <c r="J9" i="11"/>
  <c r="K9" i="11"/>
  <c r="L9" i="11"/>
  <c r="J10" i="11"/>
  <c r="K10" i="11"/>
  <c r="L10" i="11"/>
  <c r="J11" i="11"/>
  <c r="K11" i="11"/>
  <c r="L11" i="11"/>
  <c r="J12" i="11"/>
  <c r="K12" i="11"/>
  <c r="L12" i="11"/>
  <c r="J13" i="11"/>
  <c r="K13" i="11"/>
  <c r="L13" i="11"/>
  <c r="K2" i="11"/>
  <c r="L2" i="11"/>
  <c r="J2" i="11"/>
  <c r="G3" i="11"/>
  <c r="O3" i="11" s="1"/>
  <c r="G4" i="11"/>
  <c r="O4" i="11" s="1"/>
  <c r="U4" i="11" s="1"/>
  <c r="G5" i="11"/>
  <c r="G6" i="11"/>
  <c r="G7" i="11"/>
  <c r="G8" i="11"/>
  <c r="G9" i="11"/>
  <c r="G10" i="11"/>
  <c r="O10" i="11" s="1"/>
  <c r="U10" i="11" s="1"/>
  <c r="G11" i="11"/>
  <c r="O11" i="11" s="1"/>
  <c r="U11" i="11" s="1"/>
  <c r="G12" i="11"/>
  <c r="O12" i="11" s="1"/>
  <c r="U12" i="11" s="1"/>
  <c r="G13" i="11"/>
  <c r="G14" i="11"/>
  <c r="O14" i="11" s="1"/>
  <c r="G15" i="11"/>
  <c r="O15" i="11" s="1"/>
  <c r="U15" i="11" s="1"/>
  <c r="G16" i="11"/>
  <c r="O16" i="11" s="1"/>
  <c r="U16" i="11" s="1"/>
  <c r="G17" i="11"/>
  <c r="O17" i="11" s="1"/>
  <c r="U17" i="11" s="1"/>
  <c r="G18" i="11"/>
  <c r="O18" i="11" s="1"/>
  <c r="U18" i="11" s="1"/>
  <c r="G19" i="11"/>
  <c r="O19" i="11" s="1"/>
  <c r="U19" i="11" s="1"/>
  <c r="G20" i="11"/>
  <c r="O20" i="11" s="1"/>
  <c r="P24" i="11" s="1"/>
  <c r="G21" i="11"/>
  <c r="O21" i="11" s="1"/>
  <c r="G22" i="11"/>
  <c r="O22" i="11" s="1"/>
  <c r="G23" i="11"/>
  <c r="O23" i="11" s="1"/>
  <c r="U23" i="11" s="1"/>
  <c r="G24" i="11"/>
  <c r="O24" i="11" s="1"/>
  <c r="U24" i="11" s="1"/>
  <c r="G25" i="11"/>
  <c r="O25" i="11" s="1"/>
  <c r="U25" i="11" s="1"/>
  <c r="G26" i="11"/>
  <c r="O26" i="11" s="1"/>
  <c r="U26" i="11" s="1"/>
  <c r="G27" i="11"/>
  <c r="R27" i="11" s="1"/>
  <c r="G28" i="11"/>
  <c r="O28" i="11" s="1"/>
  <c r="U28" i="11" s="1"/>
  <c r="G29" i="11"/>
  <c r="R29" i="11" s="1"/>
  <c r="G30" i="11"/>
  <c r="G31" i="11"/>
  <c r="G32" i="11"/>
  <c r="O32" i="11" s="1"/>
  <c r="U32" i="11" s="1"/>
  <c r="G33" i="11"/>
  <c r="O33" i="11" s="1"/>
  <c r="U33" i="11" s="1"/>
  <c r="G34" i="11"/>
  <c r="O34" i="11" s="1"/>
  <c r="U34" i="11" s="1"/>
  <c r="G35" i="11"/>
  <c r="O35" i="11" s="1"/>
  <c r="U35" i="11" s="1"/>
  <c r="G36" i="11"/>
  <c r="O36" i="11" s="1"/>
  <c r="U36" i="11" s="1"/>
  <c r="G37" i="11"/>
  <c r="R37" i="11" s="1"/>
  <c r="G38" i="11"/>
  <c r="R38" i="11" s="1"/>
  <c r="G39" i="11"/>
  <c r="G40" i="11"/>
  <c r="G41" i="11"/>
  <c r="O41" i="11" s="1"/>
  <c r="U41" i="11" s="1"/>
  <c r="G42" i="11"/>
  <c r="O42" i="11" s="1"/>
  <c r="U42" i="11" s="1"/>
  <c r="G43" i="11"/>
  <c r="O43" i="11" s="1"/>
  <c r="U43" i="11" s="1"/>
  <c r="G44" i="11"/>
  <c r="R44" i="11" s="1"/>
  <c r="G45" i="11"/>
  <c r="O45" i="11" s="1"/>
  <c r="G46" i="11"/>
  <c r="R46" i="11" s="1"/>
  <c r="G47" i="11"/>
  <c r="G48" i="11"/>
  <c r="R48" i="11" s="1"/>
  <c r="G49" i="11"/>
  <c r="O49" i="11" s="1"/>
  <c r="U49" i="11" s="1"/>
  <c r="G2" i="11"/>
  <c r="O2" i="11" s="1"/>
  <c r="F3" i="11"/>
  <c r="N3" i="11" s="1"/>
  <c r="F4" i="11"/>
  <c r="N4" i="11" s="1"/>
  <c r="F5" i="11"/>
  <c r="N5" i="11" s="1"/>
  <c r="F6" i="11"/>
  <c r="F7" i="11"/>
  <c r="F8" i="11"/>
  <c r="N8" i="11" s="1"/>
  <c r="F9" i="11"/>
  <c r="N9" i="11" s="1"/>
  <c r="F10" i="11"/>
  <c r="N10" i="11" s="1"/>
  <c r="F11" i="11"/>
  <c r="N11" i="11" s="1"/>
  <c r="F12" i="11"/>
  <c r="N12" i="11" s="1"/>
  <c r="F13" i="11"/>
  <c r="N13" i="11" s="1"/>
  <c r="F14" i="11"/>
  <c r="F15" i="11"/>
  <c r="F16" i="11"/>
  <c r="F17" i="11"/>
  <c r="F18" i="11"/>
  <c r="F19" i="11"/>
  <c r="N19" i="11" s="1"/>
  <c r="F20" i="11"/>
  <c r="N20" i="11" s="1"/>
  <c r="F21" i="11"/>
  <c r="F22" i="11"/>
  <c r="F23" i="11"/>
  <c r="F24" i="11"/>
  <c r="F25" i="11"/>
  <c r="F26" i="11"/>
  <c r="N26" i="11" s="1"/>
  <c r="F27" i="11"/>
  <c r="F28" i="11"/>
  <c r="N28" i="11" s="1"/>
  <c r="F29" i="11"/>
  <c r="F30" i="11"/>
  <c r="F31" i="11"/>
  <c r="F32" i="11"/>
  <c r="N32" i="11" s="1"/>
  <c r="F33" i="11"/>
  <c r="F34" i="11"/>
  <c r="N34" i="11" s="1"/>
  <c r="F35" i="11"/>
  <c r="F36" i="11"/>
  <c r="N36" i="11" s="1"/>
  <c r="F37" i="11"/>
  <c r="F38" i="11"/>
  <c r="F39" i="11"/>
  <c r="F40" i="11"/>
  <c r="F41" i="11"/>
  <c r="N41" i="11" s="1"/>
  <c r="F42" i="11"/>
  <c r="N42" i="11" s="1"/>
  <c r="F43" i="11"/>
  <c r="N43" i="11" s="1"/>
  <c r="F44" i="11"/>
  <c r="N44" i="11" s="1"/>
  <c r="F45" i="11"/>
  <c r="N45" i="11" s="1"/>
  <c r="F46" i="11"/>
  <c r="F47" i="11"/>
  <c r="F48" i="11"/>
  <c r="F49" i="11"/>
  <c r="N49" i="11" s="1"/>
  <c r="F2" i="11"/>
  <c r="N2" i="11" s="1"/>
  <c r="G19" i="14" l="1"/>
  <c r="G31" i="14"/>
  <c r="G43" i="14"/>
  <c r="F2" i="14"/>
  <c r="M2" i="14"/>
  <c r="N2" i="14" s="1"/>
  <c r="M31" i="14"/>
  <c r="N31" i="14" s="1"/>
  <c r="F19" i="14"/>
  <c r="F43" i="14"/>
  <c r="U3" i="11"/>
  <c r="R28" i="11"/>
  <c r="R4" i="11"/>
  <c r="R35" i="11"/>
  <c r="R19" i="11"/>
  <c r="R3" i="11"/>
  <c r="R42" i="11"/>
  <c r="R34" i="11"/>
  <c r="R26" i="11"/>
  <c r="R18" i="11"/>
  <c r="R10" i="11"/>
  <c r="N25" i="11"/>
  <c r="O9" i="11"/>
  <c r="U9" i="11" s="1"/>
  <c r="R49" i="11"/>
  <c r="R33" i="11"/>
  <c r="R17" i="11"/>
  <c r="R9" i="11"/>
  <c r="U2" i="11"/>
  <c r="N40" i="11"/>
  <c r="N24" i="11"/>
  <c r="O40" i="11"/>
  <c r="U40" i="11" s="1"/>
  <c r="O8" i="11"/>
  <c r="U8" i="11" s="1"/>
  <c r="R32" i="11"/>
  <c r="R16" i="11"/>
  <c r="R8" i="11"/>
  <c r="N47" i="11"/>
  <c r="N39" i="11"/>
  <c r="N31" i="11"/>
  <c r="N23" i="11"/>
  <c r="N15" i="11"/>
  <c r="O47" i="11"/>
  <c r="U47" i="11" s="1"/>
  <c r="O39" i="11"/>
  <c r="U39" i="11" s="1"/>
  <c r="O31" i="11"/>
  <c r="U31" i="11" s="1"/>
  <c r="O7" i="11"/>
  <c r="U7" i="11" s="1"/>
  <c r="R47" i="11"/>
  <c r="R39" i="11"/>
  <c r="R31" i="11"/>
  <c r="R23" i="11"/>
  <c r="R15" i="11"/>
  <c r="R7" i="11"/>
  <c r="R36" i="11"/>
  <c r="N27" i="11"/>
  <c r="R43" i="11"/>
  <c r="R2" i="11"/>
  <c r="N33" i="11"/>
  <c r="N17" i="11"/>
  <c r="O44" i="11"/>
  <c r="U44" i="11" s="1"/>
  <c r="O37" i="11"/>
  <c r="U37" i="11" s="1"/>
  <c r="R41" i="11"/>
  <c r="R25" i="11"/>
  <c r="N48" i="11"/>
  <c r="N16" i="11"/>
  <c r="O48" i="11"/>
  <c r="U48" i="11" s="1"/>
  <c r="R40" i="11"/>
  <c r="R24" i="11"/>
  <c r="R66" i="11"/>
  <c r="N46" i="11"/>
  <c r="N38" i="11"/>
  <c r="N30" i="11"/>
  <c r="N14" i="11"/>
  <c r="O30" i="11"/>
  <c r="U30" i="11" s="1"/>
  <c r="O6" i="11"/>
  <c r="U6" i="11" s="1"/>
  <c r="O27" i="11"/>
  <c r="R30" i="11"/>
  <c r="R22" i="11"/>
  <c r="R14" i="11"/>
  <c r="R6" i="11"/>
  <c r="R20" i="11"/>
  <c r="R12" i="11"/>
  <c r="N35" i="11"/>
  <c r="R11" i="11"/>
  <c r="U20" i="11"/>
  <c r="N18" i="11"/>
  <c r="N37" i="11"/>
  <c r="N29" i="11"/>
  <c r="N21" i="11"/>
  <c r="O13" i="11"/>
  <c r="U13" i="11" s="1"/>
  <c r="O5" i="11"/>
  <c r="U5" i="11" s="1"/>
  <c r="O29" i="11"/>
  <c r="U29" i="11" s="1"/>
  <c r="R45" i="11"/>
  <c r="R21" i="11"/>
  <c r="R13" i="11"/>
  <c r="R5" i="11"/>
  <c r="O38" i="11"/>
  <c r="O46" i="11"/>
  <c r="U46" i="11" s="1"/>
  <c r="P2" i="14" l="1"/>
  <c r="O2" i="14"/>
  <c r="P36" i="11"/>
  <c r="U27" i="11"/>
  <c r="R52" i="11"/>
  <c r="O52" i="11"/>
  <c r="U38" i="11"/>
  <c r="U52" i="11" s="1"/>
  <c r="P48" i="11"/>
  <c r="P12" i="11"/>
  <c r="P52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833CD0-C596-4E4E-A66B-E6767B22ACF6}" keepAlive="1" name="Query - results_unroll_1" description="Connection to the 'results_unroll_1' query in the workbook." type="5" refreshedVersion="0" background="1">
    <dbPr connection="Provider=Microsoft.Mashup.OleDb.1;Data Source=$Workbook$;Location=results_unroll_1;Extended Properties=&quot;&quot;" command="SELECT * FROM [results_unroll_1]"/>
  </connection>
  <connection id="2" xr16:uid="{9EDF120A-93AA-4E75-B9BA-41B1679C795E}" keepAlive="1" name="Query - results_unroll_1 (2)" description="Connection to the 'results_unroll_1 (2)' query in the workbook." type="5" refreshedVersion="0" background="1">
    <dbPr connection="Provider=Microsoft.Mashup.OleDb.1;Data Source=$Workbook$;Location=&quot;results_unroll_1 (2)&quot;;Extended Properties=&quot;&quot;" command="SELECT * FROM [results_unroll_1 (2)]"/>
  </connection>
  <connection id="3" xr16:uid="{9C2E1E71-ED06-481E-B7D2-853DF8A5432D}" keepAlive="1" name="Query - results_unroll_10" description="Connection to the 'results_unroll_10' query in the workbook." type="5" refreshedVersion="0" background="1">
    <dbPr connection="Provider=Microsoft.Mashup.OleDb.1;Data Source=$Workbook$;Location=results_unroll_10;Extended Properties=&quot;&quot;" command="SELECT * FROM [results_unroll_10]"/>
  </connection>
  <connection id="4" xr16:uid="{AD755D59-87E1-4EBC-A8CB-DC66D501A9BC}" keepAlive="1" name="Query - results_unroll_2" description="Connection to the 'results_unroll_2' query in the workbook." type="5" refreshedVersion="0" background="1">
    <dbPr connection="Provider=Microsoft.Mashup.OleDb.1;Data Source=$Workbook$;Location=results_unroll_2;Extended Properties=&quot;&quot;" command="SELECT * FROM [results_unroll_2]"/>
  </connection>
  <connection id="5" xr16:uid="{9C87E93F-687D-4A2B-A208-E193EF80C025}" keepAlive="1" name="Query - results_unroll_2 (2)" description="Connection to the 'results_unroll_2 (2)' query in the workbook." type="5" refreshedVersion="0" background="1">
    <dbPr connection="Provider=Microsoft.Mashup.OleDb.1;Data Source=$Workbook$;Location=&quot;results_unroll_2 (2)&quot;;Extended Properties=&quot;&quot;" command="SELECT * FROM [results_unroll_2 (2)]"/>
  </connection>
  <connection id="6" xr16:uid="{B86B70BA-3D6F-46A5-B5AF-6E4AF63C581A}" keepAlive="1" name="Query - results_unroll_2 (3)" description="Connection to the 'results_unroll_2 (3)' query in the workbook." type="5" refreshedVersion="8" background="1" saveData="1">
    <dbPr connection="Provider=Microsoft.Mashup.OleDb.1;Data Source=$Workbook$;Location=&quot;results_unroll_2 (3)&quot;;Extended Properties=&quot;&quot;" command="SELECT * FROM [results_unroll_2 (3)]"/>
  </connection>
  <connection id="7" xr16:uid="{FA9C11FD-8F8B-4EFE-9AC6-71AFCDE609F9}" keepAlive="1" name="Query - results_unroll_2 (4)" description="Connection to the 'results_unroll_2 (4)' query in the workbook." type="5" refreshedVersion="8" background="1" saveData="1">
    <dbPr connection="Provider=Microsoft.Mashup.OleDb.1;Data Source=$Workbook$;Location=&quot;results_unroll_2 (4)&quot;;Extended Properties=&quot;&quot;" command="SELECT * FROM [results_unroll_2 (4)]"/>
  </connection>
  <connection id="8" xr16:uid="{A3B7C0E3-818A-42B2-8C6A-51B3100D80D2}" keepAlive="1" name="Query - results_unroll_2 (5)" description="Connection to the 'results_unroll_2 (5)' query in the workbook." type="5" refreshedVersion="0" background="1">
    <dbPr connection="Provider=Microsoft.Mashup.OleDb.1;Data Source=$Workbook$;Location=&quot;results_unroll_2 (5)&quot;;Extended Properties=&quot;&quot;" command="SELECT * FROM [results_unroll_2 (5)]"/>
  </connection>
  <connection id="9" xr16:uid="{2C3672FA-30F1-495C-BCD3-73D67C11BA26}" keepAlive="1" name="Query - results_unroll_2 (6)" description="Connection to the 'results_unroll_2 (6)' query in the workbook." type="5" refreshedVersion="8" background="1" saveData="1">
    <dbPr connection="Provider=Microsoft.Mashup.OleDb.1;Data Source=$Workbook$;Location=&quot;results_unroll_2 (6)&quot;;Extended Properties=&quot;&quot;" command="SELECT * FROM [results_unroll_2 (6)]"/>
  </connection>
  <connection id="10" xr16:uid="{86767A62-907A-466F-B588-A7BA2FBD3B20}" keepAlive="1" name="Query - results_unroll_3" description="Connection to the 'results_unroll_3' query in the workbook." type="5" refreshedVersion="0" background="1">
    <dbPr connection="Provider=Microsoft.Mashup.OleDb.1;Data Source=$Workbook$;Location=results_unroll_3;Extended Properties=&quot;&quot;" command="SELECT * FROM [results_unroll_3]"/>
  </connection>
  <connection id="11" xr16:uid="{1CF201FB-2FEC-4572-9E21-A2BB7B38EEEA}" keepAlive="1" name="Query - results_unroll_4" description="Connection to the 'results_unroll_4' query in the workbook." type="5" refreshedVersion="0" background="1">
    <dbPr connection="Provider=Microsoft.Mashup.OleDb.1;Data Source=$Workbook$;Location=results_unroll_4;Extended Properties=&quot;&quot;" command="SELECT * FROM [results_unroll_4]"/>
  </connection>
  <connection id="12" xr16:uid="{963FB22F-C110-4940-A213-1573E5FCFF8E}" keepAlive="1" name="Query - results_unroll_4 (2)" description="Connection to the 'results_unroll_4 (2)' query in the workbook." type="5" refreshedVersion="0" background="1">
    <dbPr connection="Provider=Microsoft.Mashup.OleDb.1;Data Source=$Workbook$;Location=&quot;results_unroll_4 (2)&quot;;Extended Properties=&quot;&quot;" command="SELECT * FROM [results_unroll_4 (2)]"/>
  </connection>
  <connection id="13" xr16:uid="{FA21E658-ED0E-4897-88D2-7C3443EB559C}" keepAlive="1" name="Query - results_unroll_6" description="Connection to the 'results_unroll_6' query in the workbook." type="5" refreshedVersion="0" background="1">
    <dbPr connection="Provider=Microsoft.Mashup.OleDb.1;Data Source=$Workbook$;Location=results_unroll_6;Extended Properties=&quot;&quot;" command="SELECT * FROM [results_unroll_6]"/>
  </connection>
  <connection id="14" xr16:uid="{CE3C7B9E-E7E9-44A5-8A1C-23957C2CE6D7}" keepAlive="1" name="Query - stalls" description="Connection to the 'stalls' query in the workbook." type="5" refreshedVersion="0" background="1">
    <dbPr connection="Provider=Microsoft.Mashup.OleDb.1;Data Source=$Workbook$;Location=stalls;Extended Properties=&quot;&quot;" command="SELECT * FROM [stalls]"/>
  </connection>
</connections>
</file>

<file path=xl/sharedStrings.xml><?xml version="1.0" encoding="utf-8"?>
<sst xmlns="http://schemas.openxmlformats.org/spreadsheetml/2006/main" count="214" uniqueCount="89">
  <si>
    <t>name</t>
  </si>
  <si>
    <t>cycles</t>
  </si>
  <si>
    <t>insts</t>
  </si>
  <si>
    <t>cacherefs</t>
  </si>
  <si>
    <t>keccakRound_translated/keccakRound_MACROPARAMS-rdi_rsp_0x0_0__SPLITPARAMS-3_1_12_1.s</t>
  </si>
  <si>
    <t>keccakRound_translated/keccakRound_MACROPARAMS-rdi_rsp_0x0_0__SPLITPARAMS-3_1_6_1.s</t>
  </si>
  <si>
    <t>keccakRound_translated/keccakRound_MACROPARAMS-rdi_rsp_0x0_0__SPLITPARAMS-3_1_6_2.s</t>
  </si>
  <si>
    <t>keccakRound_translated/keccakRound_MACROPARAMS-rdi_rsp_0x0_0__SPLITPARAMS-4_1_16_1.s</t>
  </si>
  <si>
    <t>keccakRound_translated/keccakRound_MACROPARAMS-rdi_rsp_0x0_0__SPLITPARAMS-4_1_8_1.s</t>
  </si>
  <si>
    <t>keccakRound_translated/keccakRound_MACROPARAMS-rdi_rsp_0x0_0__SPLITPARAMS-4_1_8_2.s</t>
  </si>
  <si>
    <t>keccakRound_translated/keccakRound_MACROPARAMS-rdi_rsp_0x0_0__SPLITPARAMS-5_1_10_1.s</t>
  </si>
  <si>
    <t>keccakRound_translated/keccakRound_MACROPARAMS-rdi_rsp_0x0_0__SPLITPARAMS-5_1_10_2.s</t>
  </si>
  <si>
    <t>keccakRound_translated/keccakRound_MACROPARAMS-rdi_rsp_0x0_0__SPLITPARAMS-5_1_10_3.s</t>
  </si>
  <si>
    <t>keccakRound_translated/keccakRound_MACROPARAMS-rdi_rsp_0x0_0__SPLITPARAMS-6_1_12_1.s</t>
  </si>
  <si>
    <t>keccakRound_translated/keccakRound_MACROPARAMS-rdi_rsp_0x0_0__SPLITPARAMS-6_1_12_2.s</t>
  </si>
  <si>
    <t>keccakRound_translated/keccakRound_MACROPARAMS-rdi_rsp_0x0_0__SPLITPARAMS-6_1_12_3.s</t>
  </si>
  <si>
    <t>keccakRound_translated/keccakRound_MACROPARAMS-rdi_rsp_0x0_1__SPLITPARAMS-3_1_12_1.s</t>
  </si>
  <si>
    <t>keccakRound_translated/keccakRound_MACROPARAMS-rdi_rsp_0x0_1__SPLITPARAMS-3_1_6_1.s</t>
  </si>
  <si>
    <t>keccakRound_translated/keccakRound_MACROPARAMS-rdi_rsp_0x0_1__SPLITPARAMS-3_1_6_2.s</t>
  </si>
  <si>
    <t>keccakRound_translated/keccakRound_MACROPARAMS-rdi_rsp_0x0_1__SPLITPARAMS-4_1_16_1.s</t>
  </si>
  <si>
    <t>keccakRound_translated/keccakRound_MACROPARAMS-rdi_rsp_0x0_1__SPLITPARAMS-4_1_8_1.s</t>
  </si>
  <si>
    <t>keccakRound_translated/keccakRound_MACROPARAMS-rdi_rsp_0x0_1__SPLITPARAMS-4_1_8_2.s</t>
  </si>
  <si>
    <t>keccakRound_translated/keccakRound_MACROPARAMS-rdi_rsp_0x0_1__SPLITPARAMS-5_1_10_1.s</t>
  </si>
  <si>
    <t>keccakRound_translated/keccakRound_MACROPARAMS-rdi_rsp_0x0_1__SPLITPARAMS-5_1_10_2.s</t>
  </si>
  <si>
    <t>keccakRound_translated/keccakRound_MACROPARAMS-rdi_rsp_0x0_1__SPLITPARAMS-5_1_10_3.s</t>
  </si>
  <si>
    <t>keccakRound_translated/keccakRound_MACROPARAMS-rdi_rsp_0x0_1__SPLITPARAMS-6_1_12_1.s</t>
  </si>
  <si>
    <t>keccakRound_translated/keccakRound_MACROPARAMS-rdi_rsp_0x0_1__SPLITPARAMS-6_1_12_2.s</t>
  </si>
  <si>
    <t>keccakRound_translated/keccakRound_MACROPARAMS-rdi_rsp_0x0_1__SPLITPARAMS-6_1_12_3.s</t>
  </si>
  <si>
    <t>keccakRound_translated/keccakRound_MACROPARAMS-rsp_rdi_0x0_0__SPLITPARAMS-3_1_12_1.s</t>
  </si>
  <si>
    <t>keccakRound_translated/keccakRound_MACROPARAMS-rsp_rdi_0x0_0__SPLITPARAMS-3_1_6_1.s</t>
  </si>
  <si>
    <t>keccakRound_translated/keccakRound_MACROPARAMS-rsp_rdi_0x0_0__SPLITPARAMS-3_1_6_2.s</t>
  </si>
  <si>
    <t>keccakRound_translated/keccakRound_MACROPARAMS-rsp_rdi_0x0_0__SPLITPARAMS-4_1_16_1.s</t>
  </si>
  <si>
    <t>keccakRound_translated/keccakRound_MACROPARAMS-rsp_rdi_0x0_0__SPLITPARAMS-4_1_8_1.s</t>
  </si>
  <si>
    <t>keccakRound_translated/keccakRound_MACROPARAMS-rsp_rdi_0x0_0__SPLITPARAMS-4_1_8_2.s</t>
  </si>
  <si>
    <t>keccakRound_translated/keccakRound_MACROPARAMS-rsp_rdi_0x0_0__SPLITPARAMS-5_1_10_1.s</t>
  </si>
  <si>
    <t>keccakRound_translated/keccakRound_MACROPARAMS-rsp_rdi_0x0_0__SPLITPARAMS-5_1_10_2.s</t>
  </si>
  <si>
    <t>keccakRound_translated/keccakRound_MACROPARAMS-rsp_rdi_0x0_0__SPLITPARAMS-5_1_10_3.s</t>
  </si>
  <si>
    <t>keccakRound_translated/keccakRound_MACROPARAMS-rsp_rdi_0x0_0__SPLITPARAMS-6_1_12_1.s</t>
  </si>
  <si>
    <t>keccakRound_translated/keccakRound_MACROPARAMS-rsp_rdi_0x0_0__SPLITPARAMS-6_1_12_2.s</t>
  </si>
  <si>
    <t>keccakRound_translated/keccakRound_MACROPARAMS-rsp_rdi_0x0_0__SPLITPARAMS-6_1_12_3.s</t>
  </si>
  <si>
    <t>keccakRound_translated/keccakRound_MACROPARAMS-rsp_rdi_0x0_1__SPLITPARAMS-3_1_12_1.s</t>
  </si>
  <si>
    <t>keccakRound_translated/keccakRound_MACROPARAMS-rsp_rdi_0x0_1__SPLITPARAMS-3_1_6_1.s</t>
  </si>
  <si>
    <t>keccakRound_translated/keccakRound_MACROPARAMS-rsp_rdi_0x0_1__SPLITPARAMS-3_1_6_2.s</t>
  </si>
  <si>
    <t>keccakRound_translated/keccakRound_MACROPARAMS-rsp_rdi_0x0_1__SPLITPARAMS-4_1_16_1.s</t>
  </si>
  <si>
    <t>keccakRound_translated/keccakRound_MACROPARAMS-rsp_rdi_0x0_1__SPLITPARAMS-4_1_8_1.s</t>
  </si>
  <si>
    <t>keccakRound_translated/keccakRound_MACROPARAMS-rsp_rdi_0x0_1__SPLITPARAMS-4_1_8_2.s</t>
  </si>
  <si>
    <t>keccakRound_translated/keccakRound_MACROPARAMS-rsp_rdi_0x0_1__SPLITPARAMS-5_1_10_1.s</t>
  </si>
  <si>
    <t>keccakRound_translated/keccakRound_MACROPARAMS-rsp_rdi_0x0_1__SPLITPARAMS-5_1_10_2.s</t>
  </si>
  <si>
    <t>keccakRound_translated/keccakRound_MACROPARAMS-rsp_rdi_0x0_1__SPLITPARAMS-5_1_10_3.s</t>
  </si>
  <si>
    <t>keccakRound_translated/keccakRound_MACROPARAMS-rsp_rdi_0x0_1__SPLITPARAMS-6_1_12_1.s</t>
  </si>
  <si>
    <t>keccakRound_translated/keccakRound_MACROPARAMS-rsp_rdi_0x0_1__SPLITPARAMS-6_1_12_2.s</t>
  </si>
  <si>
    <t>keccakRound_translated/keccakRound_MACROPARAMS-rsp_rdi_0x0_1__SPLITPARAMS-6_1_12_3.s</t>
  </si>
  <si>
    <t>avg</t>
  </si>
  <si>
    <t>min</t>
  </si>
  <si>
    <t>IPC</t>
  </si>
  <si>
    <t>STALLS</t>
  </si>
  <si>
    <t>keccakRound_translated_originals/ORIG_keccakRound_MACROPARAMS-rdi_rsp_0x0_0.s</t>
  </si>
  <si>
    <t>keccakRound_translated_originals/ORIG_keccakRound_MACROPARAMS-rdi_rsp_0x0_1.s</t>
  </si>
  <si>
    <t>keccakRound_translated_originals/ORIG_keccakRound_MACROPARAMS-rsp_rdi_0x0_0.s</t>
  </si>
  <si>
    <t>keccakRound_translated_originals/ORIG_keccakRound_MACROPARAMS-rsp_rdi_0x0_1.s</t>
  </si>
  <si>
    <t>deltas</t>
  </si>
  <si>
    <t>Predicted Stalls</t>
  </si>
  <si>
    <t>Underestimate</t>
  </si>
  <si>
    <t>best:</t>
  </si>
  <si>
    <t>Predicted Stall Delta</t>
  </si>
  <si>
    <t>Overestimate</t>
  </si>
  <si>
    <t>Predicted</t>
  </si>
  <si>
    <t>Best</t>
  </si>
  <si>
    <t>Diff</t>
  </si>
  <si>
    <t>Stalls</t>
  </si>
  <si>
    <t>AVG stalls</t>
  </si>
  <si>
    <t>keccakRound_translated/keccakRound_MACROPARAMS-rdi_rsp_0x0_0__SPLITPARAMS-4_1_16_2.s</t>
  </si>
  <si>
    <t>keccakRound_translated/keccakRound_MACROPARAMS-rdi_rsp_0x0_0__SPLITPARAMS-4_1_16_3.s</t>
  </si>
  <si>
    <t>keccakRound_translated/keccakRound_MACROPARAMS-rdi_rsp_0x0_0__SPLITPARAMS-4_1_8_3.s</t>
  </si>
  <si>
    <t>keccakRound_translated/keccakRound_MACROPARAMS-rdi_rsp_0x0_0__SPLITPARAMS-5_1_20_2.s</t>
  </si>
  <si>
    <t>keccakRound_translated/keccakRound_MACROPARAMS-rdi_rsp_0x0_0__SPLITPARAMS-5_1_20_3.s</t>
  </si>
  <si>
    <t>AVERAGE</t>
  </si>
  <si>
    <t>Definitely outperforms the last run!!!!</t>
  </si>
  <si>
    <t>Prediction Error</t>
  </si>
  <si>
    <t>Abs Error</t>
  </si>
  <si>
    <t>AVG</t>
  </si>
  <si>
    <t>Worst</t>
  </si>
  <si>
    <t>Abs Err</t>
  </si>
  <si>
    <t>average error went down a bit</t>
  </si>
  <si>
    <t>Step size</t>
  </si>
  <si>
    <t>doesn’t seem very strongly related to stepsize</t>
  </si>
  <si>
    <t>Split factor</t>
  </si>
  <si>
    <t>Looks closer to center of clusters despite low R^2</t>
  </si>
  <si>
    <t>We can see from the plots that there are two definite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</si>
</sst>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2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2" fontId="0" fillId="0" borderId="7" xfId="0" applyNumberFormat="1" applyBorder="1"/>
    <xf numFmtId="0" fontId="0" fillId="0" borderId="7" xfId="0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5" xfId="0" applyBorder="1"/>
    <xf numFmtId="0" fontId="0" fillId="0" borderId="8" xfId="0" applyBorder="1"/>
    <xf numFmtId="2" fontId="1" fillId="0" borderId="0" xfId="0" applyNumberFormat="1" applyFont="1"/>
    <xf numFmtId="1" fontId="0" fillId="0" borderId="2" xfId="0" applyNumberFormat="1" applyBorder="1"/>
    <xf numFmtId="1" fontId="0" fillId="0" borderId="3" xfId="0" applyNumberFormat="1" applyBorder="1"/>
    <xf numFmtId="1" fontId="0" fillId="0" borderId="0" xfId="0" applyNumberFormat="1"/>
    <xf numFmtId="1" fontId="0" fillId="0" borderId="5" xfId="0" applyNumberFormat="1" applyBorder="1"/>
    <xf numFmtId="0" fontId="0" fillId="2" borderId="0" xfId="0" applyFill="1"/>
    <xf numFmtId="1" fontId="0" fillId="2" borderId="0" xfId="0" applyNumberFormat="1" applyFill="1"/>
    <xf numFmtId="1" fontId="0" fillId="2" borderId="5" xfId="0" applyNumberFormat="1" applyFill="1" applyBorder="1"/>
    <xf numFmtId="1" fontId="0" fillId="0" borderId="7" xfId="0" applyNumberFormat="1" applyBorder="1"/>
    <xf numFmtId="1" fontId="0" fillId="0" borderId="8" xfId="0" applyNumberFormat="1" applyBorder="1"/>
    <xf numFmtId="0" fontId="0" fillId="2" borderId="7" xfId="0" applyFill="1" applyBorder="1"/>
    <xf numFmtId="1" fontId="0" fillId="2" borderId="7" xfId="0" applyNumberFormat="1" applyFill="1" applyBorder="1"/>
    <xf numFmtId="1" fontId="0" fillId="2" borderId="8" xfId="0" applyNumberFormat="1" applyFill="1" applyBorder="1"/>
    <xf numFmtId="0" fontId="0" fillId="0" borderId="0" xfId="0" applyNumberFormat="1"/>
    <xf numFmtId="0" fontId="0" fillId="0" borderId="1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0" xfId="0" applyBorder="1"/>
    <xf numFmtId="0" fontId="0" fillId="0" borderId="6" xfId="0" applyNumberForma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8" xfId="0" applyNumberFormat="1" applyBorder="1"/>
  </cellXfs>
  <cellStyles count="1">
    <cellStyle name="Normal" xfId="0" builtinId="0"/>
  </cellStyles>
  <dxfs count="5">
    <dxf>
      <numFmt numFmtId="0" formatCode="General"/>
    </dxf>
    <dxf>
      <font>
        <b/>
      </font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Abs Error vs Stepsize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794400699912514E-2"/>
                  <c:y val="-0.712554316127150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'results_unroll_2 aug19'!$R$2:$R$54</c:f>
              <c:numCache>
                <c:formatCode>General</c:formatCode>
                <c:ptCount val="53"/>
                <c:pt idx="0">
                  <c:v>8.3333333333333329E-2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6.25E-2</c:v>
                </c:pt>
                <c:pt idx="4">
                  <c:v>6.25E-2</c:v>
                </c:pt>
                <c:pt idx="5">
                  <c:v>6.25E-2</c:v>
                </c:pt>
                <c:pt idx="6">
                  <c:v>0.125</c:v>
                </c:pt>
                <c:pt idx="7">
                  <c:v>0.125</c:v>
                </c:pt>
                <c:pt idx="8">
                  <c:v>0.125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0.05</c:v>
                </c:pt>
                <c:pt idx="13">
                  <c:v>0.05</c:v>
                </c:pt>
                <c:pt idx="14">
                  <c:v>8.3333333333333329E-2</c:v>
                </c:pt>
                <c:pt idx="15">
                  <c:v>8.3333333333333329E-2</c:v>
                </c:pt>
                <c:pt idx="16">
                  <c:v>8.3333333333333329E-2</c:v>
                </c:pt>
                <c:pt idx="17">
                  <c:v>8.3333333333333329E-2</c:v>
                </c:pt>
                <c:pt idx="18">
                  <c:v>0.16666666666666666</c:v>
                </c:pt>
                <c:pt idx="19">
                  <c:v>0.16666666666666666</c:v>
                </c:pt>
                <c:pt idx="20">
                  <c:v>6.25E-2</c:v>
                </c:pt>
                <c:pt idx="21">
                  <c:v>0.125</c:v>
                </c:pt>
                <c:pt idx="22">
                  <c:v>0.125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8.3333333333333329E-2</c:v>
                </c:pt>
                <c:pt idx="27">
                  <c:v>8.3333333333333329E-2</c:v>
                </c:pt>
                <c:pt idx="28">
                  <c:v>8.3333333333333329E-2</c:v>
                </c:pt>
                <c:pt idx="29">
                  <c:v>8.3333333333333329E-2</c:v>
                </c:pt>
                <c:pt idx="30">
                  <c:v>0.16666666666666666</c:v>
                </c:pt>
                <c:pt idx="31">
                  <c:v>0.16666666666666666</c:v>
                </c:pt>
                <c:pt idx="32">
                  <c:v>6.25E-2</c:v>
                </c:pt>
                <c:pt idx="33">
                  <c:v>0.125</c:v>
                </c:pt>
                <c:pt idx="34">
                  <c:v>0.125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8.3333333333333329E-2</c:v>
                </c:pt>
                <c:pt idx="39">
                  <c:v>8.3333333333333329E-2</c:v>
                </c:pt>
                <c:pt idx="40">
                  <c:v>8.3333333333333329E-2</c:v>
                </c:pt>
                <c:pt idx="41">
                  <c:v>8.3333333333333329E-2</c:v>
                </c:pt>
                <c:pt idx="42">
                  <c:v>0.16666666666666666</c:v>
                </c:pt>
                <c:pt idx="43">
                  <c:v>0.16666666666666666</c:v>
                </c:pt>
                <c:pt idx="44">
                  <c:v>6.25E-2</c:v>
                </c:pt>
                <c:pt idx="45">
                  <c:v>0.125</c:v>
                </c:pt>
                <c:pt idx="46">
                  <c:v>0.125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8.3333333333333329E-2</c:v>
                </c:pt>
                <c:pt idx="51">
                  <c:v>8.3333333333333329E-2</c:v>
                </c:pt>
                <c:pt idx="52">
                  <c:v>8.3333333333333329E-2</c:v>
                </c:pt>
              </c:numCache>
            </c:numRef>
          </c:xVal>
          <c:yVal>
            <c:numRef>
              <c:f>'results_unroll_2 aug19'!$N$2:$N$54</c:f>
              <c:numCache>
                <c:formatCode>General</c:formatCode>
                <c:ptCount val="53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9.5</c:v>
                </c:pt>
                <c:pt idx="5">
                  <c:v>6.5</c:v>
                </c:pt>
                <c:pt idx="6">
                  <c:v>0</c:v>
                </c:pt>
                <c:pt idx="7">
                  <c:v>5.5</c:v>
                </c:pt>
                <c:pt idx="8">
                  <c:v>8</c:v>
                </c:pt>
                <c:pt idx="9">
                  <c:v>5.5</c:v>
                </c:pt>
                <c:pt idx="10">
                  <c:v>4</c:v>
                </c:pt>
                <c:pt idx="11">
                  <c:v>2</c:v>
                </c:pt>
                <c:pt idx="12">
                  <c:v>14</c:v>
                </c:pt>
                <c:pt idx="13">
                  <c:v>19</c:v>
                </c:pt>
                <c:pt idx="14">
                  <c:v>7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4.5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8</c:v>
                </c:pt>
                <c:pt idx="24">
                  <c:v>2</c:v>
                </c:pt>
                <c:pt idx="25">
                  <c:v>2</c:v>
                </c:pt>
                <c:pt idx="26">
                  <c:v>5</c:v>
                </c:pt>
                <c:pt idx="27">
                  <c:v>6.5</c:v>
                </c:pt>
                <c:pt idx="28">
                  <c:v>3</c:v>
                </c:pt>
                <c:pt idx="29">
                  <c:v>3</c:v>
                </c:pt>
                <c:pt idx="30">
                  <c:v>4.5</c:v>
                </c:pt>
                <c:pt idx="31">
                  <c:v>1</c:v>
                </c:pt>
                <c:pt idx="32">
                  <c:v>4</c:v>
                </c:pt>
                <c:pt idx="33">
                  <c:v>1</c:v>
                </c:pt>
                <c:pt idx="34">
                  <c:v>0</c:v>
                </c:pt>
                <c:pt idx="35">
                  <c:v>0.5</c:v>
                </c:pt>
                <c:pt idx="36">
                  <c:v>2</c:v>
                </c:pt>
                <c:pt idx="37">
                  <c:v>3.5</c:v>
                </c:pt>
                <c:pt idx="38">
                  <c:v>0.5</c:v>
                </c:pt>
                <c:pt idx="39">
                  <c:v>6</c:v>
                </c:pt>
                <c:pt idx="40">
                  <c:v>1</c:v>
                </c:pt>
                <c:pt idx="41">
                  <c:v>1.5</c:v>
                </c:pt>
                <c:pt idx="42">
                  <c:v>0.5</c:v>
                </c:pt>
                <c:pt idx="43">
                  <c:v>0.5</c:v>
                </c:pt>
                <c:pt idx="44">
                  <c:v>2</c:v>
                </c:pt>
                <c:pt idx="45">
                  <c:v>2.5</c:v>
                </c:pt>
                <c:pt idx="46">
                  <c:v>1.5</c:v>
                </c:pt>
                <c:pt idx="47">
                  <c:v>5.5</c:v>
                </c:pt>
                <c:pt idx="48">
                  <c:v>7.5</c:v>
                </c:pt>
                <c:pt idx="49">
                  <c:v>4</c:v>
                </c:pt>
                <c:pt idx="50">
                  <c:v>3</c:v>
                </c:pt>
                <c:pt idx="51">
                  <c:v>6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0D-40E8-A05F-384CB59A6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652463"/>
        <c:axId val="1780859055"/>
      </c:scatterChart>
      <c:valAx>
        <c:axId val="194365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859055"/>
        <c:crosses val="autoZero"/>
        <c:crossBetween val="midCat"/>
      </c:valAx>
      <c:valAx>
        <c:axId val="178085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652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Abs Error vs Split</a:t>
            </a:r>
            <a:r>
              <a:rPr lang="en-CA" baseline="0"/>
              <a:t> factor</a:t>
            </a:r>
          </a:p>
        </c:rich>
      </c:tx>
      <c:layout>
        <c:manualLayout>
          <c:xMode val="edge"/>
          <c:yMode val="edge"/>
          <c:x val="0.1554026684164479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794400699912514E-2"/>
                  <c:y val="-0.712554316127150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'results_unroll_2 aug19'!$S$2:$S$54</c:f>
              <c:numCache>
                <c:formatCode>General</c:formatCode>
                <c:ptCount val="5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</c:numCache>
            </c:numRef>
          </c:xVal>
          <c:yVal>
            <c:numRef>
              <c:f>'results_unroll_2 aug19'!$N$2:$N$54</c:f>
              <c:numCache>
                <c:formatCode>General</c:formatCode>
                <c:ptCount val="53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9.5</c:v>
                </c:pt>
                <c:pt idx="5">
                  <c:v>6.5</c:v>
                </c:pt>
                <c:pt idx="6">
                  <c:v>0</c:v>
                </c:pt>
                <c:pt idx="7">
                  <c:v>5.5</c:v>
                </c:pt>
                <c:pt idx="8">
                  <c:v>8</c:v>
                </c:pt>
                <c:pt idx="9">
                  <c:v>5.5</c:v>
                </c:pt>
                <c:pt idx="10">
                  <c:v>4</c:v>
                </c:pt>
                <c:pt idx="11">
                  <c:v>2</c:v>
                </c:pt>
                <c:pt idx="12">
                  <c:v>14</c:v>
                </c:pt>
                <c:pt idx="13">
                  <c:v>19</c:v>
                </c:pt>
                <c:pt idx="14">
                  <c:v>7</c:v>
                </c:pt>
                <c:pt idx="15">
                  <c:v>2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4.5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8</c:v>
                </c:pt>
                <c:pt idx="24">
                  <c:v>2</c:v>
                </c:pt>
                <c:pt idx="25">
                  <c:v>2</c:v>
                </c:pt>
                <c:pt idx="26">
                  <c:v>5</c:v>
                </c:pt>
                <c:pt idx="27">
                  <c:v>6.5</c:v>
                </c:pt>
                <c:pt idx="28">
                  <c:v>3</c:v>
                </c:pt>
                <c:pt idx="29">
                  <c:v>3</c:v>
                </c:pt>
                <c:pt idx="30">
                  <c:v>4.5</c:v>
                </c:pt>
                <c:pt idx="31">
                  <c:v>1</c:v>
                </c:pt>
                <c:pt idx="32">
                  <c:v>4</c:v>
                </c:pt>
                <c:pt idx="33">
                  <c:v>1</c:v>
                </c:pt>
                <c:pt idx="34">
                  <c:v>0</c:v>
                </c:pt>
                <c:pt idx="35">
                  <c:v>0.5</c:v>
                </c:pt>
                <c:pt idx="36">
                  <c:v>2</c:v>
                </c:pt>
                <c:pt idx="37">
                  <c:v>3.5</c:v>
                </c:pt>
                <c:pt idx="38">
                  <c:v>0.5</c:v>
                </c:pt>
                <c:pt idx="39">
                  <c:v>6</c:v>
                </c:pt>
                <c:pt idx="40">
                  <c:v>1</c:v>
                </c:pt>
                <c:pt idx="41">
                  <c:v>1.5</c:v>
                </c:pt>
                <c:pt idx="42">
                  <c:v>0.5</c:v>
                </c:pt>
                <c:pt idx="43">
                  <c:v>0.5</c:v>
                </c:pt>
                <c:pt idx="44">
                  <c:v>2</c:v>
                </c:pt>
                <c:pt idx="45">
                  <c:v>2.5</c:v>
                </c:pt>
                <c:pt idx="46">
                  <c:v>1.5</c:v>
                </c:pt>
                <c:pt idx="47">
                  <c:v>5.5</c:v>
                </c:pt>
                <c:pt idx="48">
                  <c:v>7.5</c:v>
                </c:pt>
                <c:pt idx="49">
                  <c:v>4</c:v>
                </c:pt>
                <c:pt idx="50">
                  <c:v>3</c:v>
                </c:pt>
                <c:pt idx="51">
                  <c:v>6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21-4EEB-B33D-58A585C82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652463"/>
        <c:axId val="1780859055"/>
      </c:scatterChart>
      <c:valAx>
        <c:axId val="194365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859055"/>
        <c:crosses val="autoZero"/>
        <c:crossBetween val="midCat"/>
      </c:valAx>
      <c:valAx>
        <c:axId val="178085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652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180975</xdr:colOff>
      <xdr:row>1</xdr:row>
      <xdr:rowOff>4762</xdr:rowOff>
    </xdr:from>
    <xdr:to>
      <xdr:col>27</xdr:col>
      <xdr:colOff>485775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8ECC73-89C2-8466-EF06-47D84FB9F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238125</xdr:colOff>
      <xdr:row>18</xdr:row>
      <xdr:rowOff>19050</xdr:rowOff>
    </xdr:from>
    <xdr:to>
      <xdr:col>27</xdr:col>
      <xdr:colOff>542925</xdr:colOff>
      <xdr:row>32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E63AC2-2BF5-4075-9750-7C9145CA5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8E2EEC8-A6A1-46F6-91B2-EC34C7F6333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ED62525-20A8-4744-889C-35D15F20C00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CE3CFD88-B24A-40A5-B5FE-FFAC07908D04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cycles" tableColumnId="2"/>
      <queryTableField id="3" name="ins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E31507-E87C-40BB-8654-FF1C5B10D01A}" name="results_unroll_2__3" displayName="results_unroll_2__3" ref="A1:D71" tableType="queryTable" totalsRowCount="1">
  <autoFilter ref="A1:D70" xr:uid="{97E31507-E87C-40BB-8654-FF1C5B10D01A}"/>
  <tableColumns count="4">
    <tableColumn id="1" xr3:uid="{3D7F44D7-133A-4DCC-A9EF-CA3986B962FD}" uniqueName="1" name="name" queryTableFieldId="1" dataDxfId="3" totalsRowDxfId="2"/>
    <tableColumn id="2" xr3:uid="{E9088B04-4879-477E-A765-848FD09C4C62}" uniqueName="2" name="cycles" totalsRowFunction="custom" queryTableFieldId="2" totalsRowDxfId="1">
      <totalsRowFormula>AVERAGE(B63:B66)</totalsRowFormula>
    </tableColumn>
    <tableColumn id="3" xr3:uid="{C77E1ED0-64CD-4E5A-AAB4-E1346EB5CD21}" uniqueName="3" name="insts" queryTableFieldId="3"/>
    <tableColumn id="4" xr3:uid="{64FCE1C2-C15C-44F7-9BAB-AD15FB728BAA}" uniqueName="4" name="cacheref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0BD64-34C6-4CB0-967E-469B6D6F8DAF}" name="results_unroll_2__4" displayName="results_unroll_2__4" ref="A1:D60" tableType="queryTable" totalsRowShown="0">
  <autoFilter ref="A1:D60" xr:uid="{2280BD64-34C6-4CB0-967E-469B6D6F8DAF}"/>
  <tableColumns count="4">
    <tableColumn id="1" xr3:uid="{5AA8FBCE-580D-41AD-8774-3D853ED2D382}" uniqueName="1" name="name" queryTableFieldId="1" dataDxfId="4"/>
    <tableColumn id="2" xr3:uid="{FE7BFA6A-A2F7-4C9E-8BD9-B747AADF1BCC}" uniqueName="2" name="cycles" queryTableFieldId="2"/>
    <tableColumn id="3" xr3:uid="{0BE2B2BF-78C0-4CFD-9F31-58E99328916F}" uniqueName="3" name="insts" queryTableFieldId="3"/>
    <tableColumn id="4" xr3:uid="{78CDF011-74AA-46F7-9DA0-E8B2EDF8D1A8}" uniqueName="4" name="cacheref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26796D-D276-4C4E-BDB9-F7DDEEE68D50}" name="results_unroll_2__6" displayName="results_unroll_2__6" ref="A1:C54" tableType="queryTable" totalsRowShown="0">
  <autoFilter ref="A1:C54" xr:uid="{9D26796D-D276-4C4E-BDB9-F7DDEEE68D50}"/>
  <tableColumns count="3">
    <tableColumn id="1" xr3:uid="{7511C3BC-E800-4464-9D08-25247BC9A38B}" uniqueName="1" name="name" queryTableFieldId="1" dataDxfId="0"/>
    <tableColumn id="2" xr3:uid="{1F323261-9288-4A0C-91E2-826656FA90D1}" uniqueName="2" name="cycles" queryTableFieldId="2"/>
    <tableColumn id="3" xr3:uid="{C716DFA1-A43B-4EF6-948D-32A528613656}" uniqueName="3" name="inst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BA27-12C5-4768-B8A6-BE3780495393}">
  <dimension ref="A1:U136"/>
  <sheetViews>
    <sheetView zoomScaleNormal="100" workbookViewId="0">
      <selection activeCell="Q162" sqref="Q162"/>
    </sheetView>
  </sheetViews>
  <sheetFormatPr defaultRowHeight="15" x14ac:dyDescent="0.25"/>
  <cols>
    <col min="1" max="1" width="103" customWidth="1"/>
    <col min="2" max="4" width="11.42578125" bestFit="1" customWidth="1"/>
    <col min="6" max="6" width="10.5703125" bestFit="1" customWidth="1"/>
    <col min="17" max="17" width="17.85546875" customWidth="1"/>
    <col min="18" max="18" width="17.5703125" customWidth="1"/>
    <col min="20" max="20" width="20.28515625" customWidth="1"/>
    <col min="21" max="21" width="14.28515625" customWidth="1"/>
  </cols>
  <sheetData>
    <row r="1" spans="1:21" ht="15.75" thickBot="1" x14ac:dyDescent="0.3">
      <c r="A1" t="s">
        <v>0</v>
      </c>
      <c r="B1" t="s">
        <v>1</v>
      </c>
      <c r="C1" t="s">
        <v>2</v>
      </c>
      <c r="D1" t="s">
        <v>3</v>
      </c>
      <c r="F1" t="s">
        <v>54</v>
      </c>
      <c r="G1" t="s">
        <v>55</v>
      </c>
      <c r="I1" t="s">
        <v>60</v>
      </c>
      <c r="J1" s="1" t="s">
        <v>1</v>
      </c>
      <c r="K1" s="1" t="s">
        <v>2</v>
      </c>
      <c r="L1" s="1" t="s">
        <v>3</v>
      </c>
      <c r="N1" s="1" t="s">
        <v>54</v>
      </c>
      <c r="O1" s="1" t="s">
        <v>55</v>
      </c>
      <c r="Q1" s="1" t="s">
        <v>61</v>
      </c>
      <c r="R1" s="1" t="s">
        <v>62</v>
      </c>
      <c r="T1" s="1" t="s">
        <v>64</v>
      </c>
      <c r="U1" s="1" t="s">
        <v>65</v>
      </c>
    </row>
    <row r="2" spans="1:21" x14ac:dyDescent="0.25">
      <c r="A2" s="4" t="s">
        <v>4</v>
      </c>
      <c r="B2" s="5">
        <v>117.5</v>
      </c>
      <c r="C2" s="5">
        <v>212</v>
      </c>
      <c r="D2" s="5">
        <v>58</v>
      </c>
      <c r="E2" s="6"/>
      <c r="F2" s="7">
        <f>results_unroll_2__3[[#This Row],[insts]]/results_unroll_2__3[[#This Row],[cycles]]</f>
        <v>1.8042553191489361</v>
      </c>
      <c r="G2" s="6">
        <f>results_unroll_2__3[[#This Row],[cycles]]-CEILING(results_unroll_2__3[[#This Row],[insts]]/2,1)</f>
        <v>11.5</v>
      </c>
      <c r="H2" s="6"/>
      <c r="I2" s="6"/>
      <c r="J2" s="7">
        <f t="shared" ref="J2:J13" si="0">B2-B$63</f>
        <v>-36.5</v>
      </c>
      <c r="K2" s="7">
        <f t="shared" ref="K2:K13" si="1">C2-C$63</f>
        <v>0</v>
      </c>
      <c r="L2" s="7">
        <f t="shared" ref="L2:L13" si="2">D2-D$63</f>
        <v>0</v>
      </c>
      <c r="M2" s="7"/>
      <c r="N2" s="7">
        <f>F2-F$63</f>
        <v>0.42763194252555947</v>
      </c>
      <c r="O2" s="8">
        <f>G2-G$63</f>
        <v>-36.5</v>
      </c>
      <c r="Q2">
        <v>6</v>
      </c>
      <c r="R2">
        <f>G2-Q2</f>
        <v>5.5</v>
      </c>
      <c r="T2">
        <f>Q2-Q$63</f>
        <v>-39</v>
      </c>
      <c r="U2" s="3">
        <f>-(T2-O2)</f>
        <v>2.5</v>
      </c>
    </row>
    <row r="3" spans="1:21" x14ac:dyDescent="0.25">
      <c r="A3" s="9" t="s">
        <v>5</v>
      </c>
      <c r="B3" s="2">
        <v>138</v>
      </c>
      <c r="C3" s="2">
        <v>212</v>
      </c>
      <c r="D3" s="2">
        <v>58</v>
      </c>
      <c r="F3" s="3">
        <f>results_unroll_2__3[[#This Row],[insts]]/results_unroll_2__3[[#This Row],[cycles]]</f>
        <v>1.536231884057971</v>
      </c>
      <c r="G3">
        <f>results_unroll_2__3[[#This Row],[cycles]]-CEILING(results_unroll_2__3[[#This Row],[insts]]/2,1)</f>
        <v>32</v>
      </c>
      <c r="J3" s="3">
        <f t="shared" si="0"/>
        <v>-16</v>
      </c>
      <c r="K3" s="3">
        <f t="shared" si="1"/>
        <v>0</v>
      </c>
      <c r="L3" s="3">
        <f t="shared" si="2"/>
        <v>0</v>
      </c>
      <c r="M3" s="3"/>
      <c r="N3" s="3">
        <f t="shared" ref="N3:N12" si="3">F3-F$63</f>
        <v>0.15960850743459432</v>
      </c>
      <c r="O3" s="10">
        <f t="shared" ref="O3:O12" si="4">G3-G$63</f>
        <v>-16</v>
      </c>
      <c r="Q3">
        <v>3</v>
      </c>
      <c r="R3">
        <f t="shared" ref="R3:R49" si="5">G3-Q3</f>
        <v>29</v>
      </c>
      <c r="T3">
        <f t="shared" ref="T3:T13" si="6">Q3-Q$63</f>
        <v>-42</v>
      </c>
      <c r="U3" s="3">
        <f t="shared" ref="U3:U49" si="7">-(T3-O3)</f>
        <v>26</v>
      </c>
    </row>
    <row r="4" spans="1:21" x14ac:dyDescent="0.25">
      <c r="A4" s="9" t="s">
        <v>6</v>
      </c>
      <c r="B4" s="2">
        <v>124.5</v>
      </c>
      <c r="C4" s="2">
        <v>212</v>
      </c>
      <c r="D4" s="2">
        <v>58</v>
      </c>
      <c r="F4" s="3">
        <f>results_unroll_2__3[[#This Row],[insts]]/results_unroll_2__3[[#This Row],[cycles]]</f>
        <v>1.7028112449799198</v>
      </c>
      <c r="G4">
        <f>results_unroll_2__3[[#This Row],[cycles]]-CEILING(results_unroll_2__3[[#This Row],[insts]]/2,1)</f>
        <v>18.5</v>
      </c>
      <c r="J4" s="3">
        <f t="shared" si="0"/>
        <v>-29.5</v>
      </c>
      <c r="K4" s="3">
        <f t="shared" si="1"/>
        <v>0</v>
      </c>
      <c r="L4" s="3">
        <f t="shared" si="2"/>
        <v>0</v>
      </c>
      <c r="M4" s="3"/>
      <c r="N4" s="3">
        <f t="shared" si="3"/>
        <v>0.32618786835654312</v>
      </c>
      <c r="O4" s="10">
        <f t="shared" si="4"/>
        <v>-29.5</v>
      </c>
      <c r="Q4">
        <v>2</v>
      </c>
      <c r="R4">
        <f t="shared" si="5"/>
        <v>16.5</v>
      </c>
      <c r="T4">
        <f t="shared" si="6"/>
        <v>-43</v>
      </c>
      <c r="U4" s="3">
        <f t="shared" si="7"/>
        <v>13.5</v>
      </c>
    </row>
    <row r="5" spans="1:21" x14ac:dyDescent="0.25">
      <c r="A5" s="9" t="s">
        <v>7</v>
      </c>
      <c r="B5" s="2">
        <v>113</v>
      </c>
      <c r="C5" s="2">
        <v>212</v>
      </c>
      <c r="D5" s="2">
        <v>58</v>
      </c>
      <c r="F5" s="3">
        <f>results_unroll_2__3[[#This Row],[insts]]/results_unroll_2__3[[#This Row],[cycles]]</f>
        <v>1.8761061946902655</v>
      </c>
      <c r="G5">
        <f>results_unroll_2__3[[#This Row],[cycles]]-CEILING(results_unroll_2__3[[#This Row],[insts]]/2,1)</f>
        <v>7</v>
      </c>
      <c r="J5" s="3">
        <f t="shared" si="0"/>
        <v>-41</v>
      </c>
      <c r="K5" s="3">
        <f t="shared" si="1"/>
        <v>0</v>
      </c>
      <c r="L5" s="3">
        <f t="shared" si="2"/>
        <v>0</v>
      </c>
      <c r="M5" s="3"/>
      <c r="N5" s="3">
        <f t="shared" si="3"/>
        <v>0.49948281806688888</v>
      </c>
      <c r="O5" s="10">
        <f t="shared" si="4"/>
        <v>-41</v>
      </c>
      <c r="Q5">
        <v>7</v>
      </c>
      <c r="R5">
        <f t="shared" si="5"/>
        <v>0</v>
      </c>
      <c r="T5">
        <f t="shared" si="6"/>
        <v>-38</v>
      </c>
      <c r="U5" s="3">
        <f t="shared" si="7"/>
        <v>-3</v>
      </c>
    </row>
    <row r="6" spans="1:21" x14ac:dyDescent="0.25">
      <c r="A6" s="9" t="s">
        <v>8</v>
      </c>
      <c r="B6" s="2">
        <v>123.5</v>
      </c>
      <c r="C6" s="2">
        <v>212</v>
      </c>
      <c r="D6" s="2">
        <v>58</v>
      </c>
      <c r="F6" s="3">
        <f>results_unroll_2__3[[#This Row],[insts]]/results_unroll_2__3[[#This Row],[cycles]]</f>
        <v>1.7165991902834008</v>
      </c>
      <c r="G6">
        <f>results_unroll_2__3[[#This Row],[cycles]]-CEILING(results_unroll_2__3[[#This Row],[insts]]/2,1)</f>
        <v>17.5</v>
      </c>
      <c r="J6" s="3">
        <f t="shared" si="0"/>
        <v>-30.5</v>
      </c>
      <c r="K6" s="3">
        <f t="shared" si="1"/>
        <v>0</v>
      </c>
      <c r="L6" s="3">
        <f t="shared" si="2"/>
        <v>0</v>
      </c>
      <c r="M6" s="3"/>
      <c r="N6" s="3">
        <f t="shared" si="3"/>
        <v>0.33997581366002416</v>
      </c>
      <c r="O6" s="10">
        <f t="shared" si="4"/>
        <v>-30.5</v>
      </c>
      <c r="Q6">
        <v>3</v>
      </c>
      <c r="R6">
        <f t="shared" si="5"/>
        <v>14.5</v>
      </c>
      <c r="T6">
        <f t="shared" si="6"/>
        <v>-42</v>
      </c>
      <c r="U6" s="3">
        <f t="shared" si="7"/>
        <v>11.5</v>
      </c>
    </row>
    <row r="7" spans="1:21" x14ac:dyDescent="0.25">
      <c r="A7" s="9" t="s">
        <v>9</v>
      </c>
      <c r="B7" s="2">
        <v>120</v>
      </c>
      <c r="C7" s="2">
        <v>212</v>
      </c>
      <c r="D7" s="2">
        <v>58</v>
      </c>
      <c r="F7" s="3">
        <f>results_unroll_2__3[[#This Row],[insts]]/results_unroll_2__3[[#This Row],[cycles]]</f>
        <v>1.7666666666666666</v>
      </c>
      <c r="G7">
        <f>results_unroll_2__3[[#This Row],[cycles]]-CEILING(results_unroll_2__3[[#This Row],[insts]]/2,1)</f>
        <v>14</v>
      </c>
      <c r="J7" s="3">
        <f t="shared" si="0"/>
        <v>-34</v>
      </c>
      <c r="K7" s="3">
        <f t="shared" si="1"/>
        <v>0</v>
      </c>
      <c r="L7" s="3">
        <f t="shared" si="2"/>
        <v>0</v>
      </c>
      <c r="M7" s="3"/>
      <c r="N7" s="3">
        <f t="shared" si="3"/>
        <v>0.39004329004328997</v>
      </c>
      <c r="O7" s="10">
        <f t="shared" si="4"/>
        <v>-34</v>
      </c>
      <c r="Q7">
        <v>3</v>
      </c>
      <c r="R7">
        <f t="shared" si="5"/>
        <v>11</v>
      </c>
      <c r="T7">
        <f t="shared" si="6"/>
        <v>-42</v>
      </c>
      <c r="U7" s="3">
        <f t="shared" si="7"/>
        <v>8</v>
      </c>
    </row>
    <row r="8" spans="1:21" x14ac:dyDescent="0.25">
      <c r="A8" s="9" t="s">
        <v>10</v>
      </c>
      <c r="B8" s="2">
        <v>112.5</v>
      </c>
      <c r="C8" s="2">
        <v>212</v>
      </c>
      <c r="D8" s="2">
        <v>58</v>
      </c>
      <c r="F8" s="3">
        <f>results_unroll_2__3[[#This Row],[insts]]/results_unroll_2__3[[#This Row],[cycles]]</f>
        <v>1.8844444444444444</v>
      </c>
      <c r="G8">
        <f>results_unroll_2__3[[#This Row],[cycles]]-CEILING(results_unroll_2__3[[#This Row],[insts]]/2,1)</f>
        <v>6.5</v>
      </c>
      <c r="J8" s="3">
        <f t="shared" si="0"/>
        <v>-41.5</v>
      </c>
      <c r="K8" s="3">
        <f t="shared" si="1"/>
        <v>0</v>
      </c>
      <c r="L8" s="3">
        <f t="shared" si="2"/>
        <v>0</v>
      </c>
      <c r="M8" s="3"/>
      <c r="N8" s="3">
        <f t="shared" si="3"/>
        <v>0.50782106782106773</v>
      </c>
      <c r="O8" s="10">
        <f t="shared" si="4"/>
        <v>-41.5</v>
      </c>
      <c r="Q8">
        <v>5</v>
      </c>
      <c r="R8">
        <f t="shared" si="5"/>
        <v>1.5</v>
      </c>
      <c r="T8">
        <f t="shared" si="6"/>
        <v>-40</v>
      </c>
      <c r="U8" s="3">
        <f t="shared" si="7"/>
        <v>-1.5</v>
      </c>
    </row>
    <row r="9" spans="1:21" x14ac:dyDescent="0.25">
      <c r="A9" s="9" t="s">
        <v>11</v>
      </c>
      <c r="B9" s="2">
        <v>119.5</v>
      </c>
      <c r="C9" s="2">
        <v>212</v>
      </c>
      <c r="D9" s="2">
        <v>58</v>
      </c>
      <c r="F9" s="3">
        <f>results_unroll_2__3[[#This Row],[insts]]/results_unroll_2__3[[#This Row],[cycles]]</f>
        <v>1.7740585774058577</v>
      </c>
      <c r="G9">
        <f>results_unroll_2__3[[#This Row],[cycles]]-CEILING(results_unroll_2__3[[#This Row],[insts]]/2,1)</f>
        <v>13.5</v>
      </c>
      <c r="J9" s="3">
        <f t="shared" si="0"/>
        <v>-34.5</v>
      </c>
      <c r="K9" s="3">
        <f t="shared" si="1"/>
        <v>0</v>
      </c>
      <c r="L9" s="3">
        <f t="shared" si="2"/>
        <v>0</v>
      </c>
      <c r="M9" s="3"/>
      <c r="N9" s="3">
        <f t="shared" si="3"/>
        <v>0.39743520078248107</v>
      </c>
      <c r="O9" s="10">
        <f t="shared" si="4"/>
        <v>-34.5</v>
      </c>
      <c r="Q9">
        <v>5</v>
      </c>
      <c r="R9">
        <f t="shared" si="5"/>
        <v>8.5</v>
      </c>
      <c r="T9">
        <f t="shared" si="6"/>
        <v>-40</v>
      </c>
      <c r="U9" s="3">
        <f t="shared" si="7"/>
        <v>5.5</v>
      </c>
    </row>
    <row r="10" spans="1:21" x14ac:dyDescent="0.25">
      <c r="A10" s="9" t="s">
        <v>12</v>
      </c>
      <c r="B10" s="2">
        <v>120.5</v>
      </c>
      <c r="C10" s="2">
        <v>212</v>
      </c>
      <c r="D10" s="2">
        <v>58</v>
      </c>
      <c r="F10" s="3">
        <f>results_unroll_2__3[[#This Row],[insts]]/results_unroll_2__3[[#This Row],[cycles]]</f>
        <v>1.7593360995850622</v>
      </c>
      <c r="G10">
        <f>results_unroll_2__3[[#This Row],[cycles]]-CEILING(results_unroll_2__3[[#This Row],[insts]]/2,1)</f>
        <v>14.5</v>
      </c>
      <c r="J10" s="3">
        <f t="shared" si="0"/>
        <v>-33.5</v>
      </c>
      <c r="K10" s="3">
        <f t="shared" si="1"/>
        <v>0</v>
      </c>
      <c r="L10" s="3">
        <f t="shared" si="2"/>
        <v>0</v>
      </c>
      <c r="M10" s="3"/>
      <c r="N10" s="3">
        <f t="shared" si="3"/>
        <v>0.38271272296168557</v>
      </c>
      <c r="O10" s="10">
        <f t="shared" si="4"/>
        <v>-33.5</v>
      </c>
      <c r="Q10">
        <v>4</v>
      </c>
      <c r="R10">
        <f t="shared" si="5"/>
        <v>10.5</v>
      </c>
      <c r="T10">
        <f t="shared" si="6"/>
        <v>-41</v>
      </c>
      <c r="U10" s="3">
        <f t="shared" si="7"/>
        <v>7.5</v>
      </c>
    </row>
    <row r="11" spans="1:21" x14ac:dyDescent="0.25">
      <c r="A11" s="9" t="s">
        <v>13</v>
      </c>
      <c r="B11" s="2">
        <v>113</v>
      </c>
      <c r="C11" s="2">
        <v>212</v>
      </c>
      <c r="D11" s="2">
        <v>58</v>
      </c>
      <c r="F11" s="3">
        <f>results_unroll_2__3[[#This Row],[insts]]/results_unroll_2__3[[#This Row],[cycles]]</f>
        <v>1.8761061946902655</v>
      </c>
      <c r="G11">
        <f>results_unroll_2__3[[#This Row],[cycles]]-CEILING(results_unroll_2__3[[#This Row],[insts]]/2,1)</f>
        <v>7</v>
      </c>
      <c r="J11" s="3">
        <f t="shared" si="0"/>
        <v>-41</v>
      </c>
      <c r="K11" s="3">
        <f t="shared" si="1"/>
        <v>0</v>
      </c>
      <c r="L11" s="3">
        <f t="shared" si="2"/>
        <v>0</v>
      </c>
      <c r="M11" s="3"/>
      <c r="N11" s="3">
        <f t="shared" si="3"/>
        <v>0.49948281806688888</v>
      </c>
      <c r="O11" s="10">
        <f t="shared" si="4"/>
        <v>-41</v>
      </c>
      <c r="P11" t="s">
        <v>63</v>
      </c>
      <c r="Q11">
        <v>6</v>
      </c>
      <c r="R11">
        <f t="shared" si="5"/>
        <v>1</v>
      </c>
      <c r="T11">
        <f t="shared" si="6"/>
        <v>-39</v>
      </c>
      <c r="U11" s="3">
        <f t="shared" si="7"/>
        <v>-2</v>
      </c>
    </row>
    <row r="12" spans="1:21" x14ac:dyDescent="0.25">
      <c r="A12" s="9" t="s">
        <v>14</v>
      </c>
      <c r="B12" s="2">
        <v>112</v>
      </c>
      <c r="C12" s="2">
        <v>212</v>
      </c>
      <c r="D12" s="2">
        <v>58</v>
      </c>
      <c r="F12" s="3">
        <f>results_unroll_2__3[[#This Row],[insts]]/results_unroll_2__3[[#This Row],[cycles]]</f>
        <v>1.8928571428571428</v>
      </c>
      <c r="G12">
        <f>results_unroll_2__3[[#This Row],[cycles]]-CEILING(results_unroll_2__3[[#This Row],[insts]]/2,1)</f>
        <v>6</v>
      </c>
      <c r="J12" s="3">
        <f t="shared" si="0"/>
        <v>-42</v>
      </c>
      <c r="K12" s="3">
        <f t="shared" si="1"/>
        <v>0</v>
      </c>
      <c r="L12" s="3">
        <f t="shared" si="2"/>
        <v>0</v>
      </c>
      <c r="M12" s="3"/>
      <c r="N12" s="3">
        <f t="shared" si="3"/>
        <v>0.51623376623376616</v>
      </c>
      <c r="O12" s="10">
        <f t="shared" si="4"/>
        <v>-42</v>
      </c>
      <c r="P12" s="3">
        <f>MIN(O2:O13)</f>
        <v>-42</v>
      </c>
      <c r="Q12">
        <v>5</v>
      </c>
      <c r="R12">
        <f t="shared" si="5"/>
        <v>1</v>
      </c>
      <c r="T12">
        <f t="shared" si="6"/>
        <v>-40</v>
      </c>
      <c r="U12" s="3">
        <f t="shared" si="7"/>
        <v>-2</v>
      </c>
    </row>
    <row r="13" spans="1:21" ht="15.75" thickBot="1" x14ac:dyDescent="0.3">
      <c r="A13" s="9" t="s">
        <v>15</v>
      </c>
      <c r="B13" s="2">
        <v>119</v>
      </c>
      <c r="C13" s="2">
        <v>212</v>
      </c>
      <c r="D13" s="2">
        <v>58</v>
      </c>
      <c r="F13" s="3">
        <f>results_unroll_2__3[[#This Row],[insts]]/results_unroll_2__3[[#This Row],[cycles]]</f>
        <v>1.7815126050420169</v>
      </c>
      <c r="G13">
        <f>results_unroll_2__3[[#This Row],[cycles]]-CEILING(results_unroll_2__3[[#This Row],[insts]]/2,1)</f>
        <v>13</v>
      </c>
      <c r="J13" s="3">
        <f t="shared" si="0"/>
        <v>-35</v>
      </c>
      <c r="K13" s="3">
        <f t="shared" si="1"/>
        <v>0</v>
      </c>
      <c r="L13" s="3">
        <f t="shared" si="2"/>
        <v>0</v>
      </c>
      <c r="M13" s="3"/>
      <c r="N13" s="3">
        <f>F13-F$63</f>
        <v>0.40488922841864028</v>
      </c>
      <c r="O13" s="10">
        <f>G13-G$63</f>
        <v>-35</v>
      </c>
      <c r="Q13">
        <v>4</v>
      </c>
      <c r="R13">
        <f t="shared" si="5"/>
        <v>9</v>
      </c>
      <c r="T13">
        <f t="shared" si="6"/>
        <v>-41</v>
      </c>
      <c r="U13" s="3">
        <f t="shared" si="7"/>
        <v>6</v>
      </c>
    </row>
    <row r="14" spans="1:21" x14ac:dyDescent="0.25">
      <c r="A14" s="4" t="s">
        <v>16</v>
      </c>
      <c r="B14" s="5">
        <v>118</v>
      </c>
      <c r="C14" s="5">
        <v>199</v>
      </c>
      <c r="D14" s="5">
        <v>58</v>
      </c>
      <c r="E14" s="6"/>
      <c r="F14" s="7">
        <f>results_unroll_2__3[[#This Row],[insts]]/results_unroll_2__3[[#This Row],[cycles]]</f>
        <v>1.6864406779661016</v>
      </c>
      <c r="G14" s="6">
        <f>results_unroll_2__3[[#This Row],[cycles]]-CEILING(results_unroll_2__3[[#This Row],[insts]]/2,1)</f>
        <v>18</v>
      </c>
      <c r="H14" s="6"/>
      <c r="I14" s="6"/>
      <c r="J14" s="7">
        <f>B14-B$64</f>
        <v>-18</v>
      </c>
      <c r="K14" s="7">
        <f>C14-C$64</f>
        <v>13</v>
      </c>
      <c r="L14" s="7">
        <f>D14-D$64</f>
        <v>6</v>
      </c>
      <c r="M14" s="7"/>
      <c r="N14" s="7">
        <f>F14-F$64</f>
        <v>0.3187936191425722</v>
      </c>
      <c r="O14" s="8">
        <f>G14-G$64</f>
        <v>-25</v>
      </c>
      <c r="Q14">
        <v>3</v>
      </c>
      <c r="R14">
        <f t="shared" si="5"/>
        <v>15</v>
      </c>
      <c r="T14">
        <f>Q14-Q$64</f>
        <v>-40</v>
      </c>
      <c r="U14" s="3">
        <f t="shared" si="7"/>
        <v>15</v>
      </c>
    </row>
    <row r="15" spans="1:21" x14ac:dyDescent="0.25">
      <c r="A15" s="9" t="s">
        <v>17</v>
      </c>
      <c r="B15" s="2">
        <v>112.5</v>
      </c>
      <c r="C15" s="2">
        <v>199</v>
      </c>
      <c r="D15" s="2">
        <v>58</v>
      </c>
      <c r="F15" s="3">
        <f>results_unroll_2__3[[#This Row],[insts]]/results_unroll_2__3[[#This Row],[cycles]]</f>
        <v>1.768888888888889</v>
      </c>
      <c r="G15">
        <f>results_unroll_2__3[[#This Row],[cycles]]-CEILING(results_unroll_2__3[[#This Row],[insts]]/2,1)</f>
        <v>12.5</v>
      </c>
      <c r="J15" s="3">
        <f t="shared" ref="J15:J25" si="8">B15-B$64</f>
        <v>-23.5</v>
      </c>
      <c r="K15" s="3">
        <f t="shared" ref="K15:K25" si="9">C15-C$64</f>
        <v>13</v>
      </c>
      <c r="L15" s="3">
        <f t="shared" ref="L15:L25" si="10">D15-D$64</f>
        <v>6</v>
      </c>
      <c r="M15" s="3"/>
      <c r="N15" s="3">
        <f t="shared" ref="N15:N25" si="11">F15-F$64</f>
        <v>0.40124183006535952</v>
      </c>
      <c r="O15" s="10">
        <f t="shared" ref="O15:O25" si="12">G15-G$64</f>
        <v>-30.5</v>
      </c>
      <c r="Q15">
        <v>3</v>
      </c>
      <c r="R15">
        <f t="shared" si="5"/>
        <v>9.5</v>
      </c>
      <c r="T15">
        <f t="shared" ref="T15:T25" si="13">Q15-Q$64</f>
        <v>-40</v>
      </c>
      <c r="U15" s="3">
        <f t="shared" si="7"/>
        <v>9.5</v>
      </c>
    </row>
    <row r="16" spans="1:21" x14ac:dyDescent="0.25">
      <c r="A16" s="9" t="s">
        <v>18</v>
      </c>
      <c r="B16" s="2">
        <v>116.5</v>
      </c>
      <c r="C16" s="2">
        <v>199</v>
      </c>
      <c r="D16" s="2">
        <v>58</v>
      </c>
      <c r="F16" s="3">
        <f>results_unroll_2__3[[#This Row],[insts]]/results_unroll_2__3[[#This Row],[cycles]]</f>
        <v>1.7081545064377683</v>
      </c>
      <c r="G16">
        <f>results_unroll_2__3[[#This Row],[cycles]]-CEILING(results_unroll_2__3[[#This Row],[insts]]/2,1)</f>
        <v>16.5</v>
      </c>
      <c r="J16" s="3">
        <f t="shared" si="8"/>
        <v>-19.5</v>
      </c>
      <c r="K16" s="3">
        <f t="shared" si="9"/>
        <v>13</v>
      </c>
      <c r="L16" s="3">
        <f t="shared" si="10"/>
        <v>6</v>
      </c>
      <c r="M16" s="3"/>
      <c r="N16" s="3">
        <f t="shared" si="11"/>
        <v>0.3405074476142389</v>
      </c>
      <c r="O16" s="10">
        <f t="shared" si="12"/>
        <v>-26.5</v>
      </c>
      <c r="Q16">
        <v>2</v>
      </c>
      <c r="R16">
        <f t="shared" si="5"/>
        <v>14.5</v>
      </c>
      <c r="T16">
        <f t="shared" si="13"/>
        <v>-41</v>
      </c>
      <c r="U16" s="3">
        <f t="shared" si="7"/>
        <v>14.5</v>
      </c>
    </row>
    <row r="17" spans="1:21" x14ac:dyDescent="0.25">
      <c r="A17" s="9" t="s">
        <v>19</v>
      </c>
      <c r="B17" s="2">
        <v>126.5</v>
      </c>
      <c r="C17" s="2">
        <v>199</v>
      </c>
      <c r="D17" s="2">
        <v>58</v>
      </c>
      <c r="F17" s="3">
        <f>results_unroll_2__3[[#This Row],[insts]]/results_unroll_2__3[[#This Row],[cycles]]</f>
        <v>1.5731225296442688</v>
      </c>
      <c r="G17">
        <f>results_unroll_2__3[[#This Row],[cycles]]-CEILING(results_unroll_2__3[[#This Row],[insts]]/2,1)</f>
        <v>26.5</v>
      </c>
      <c r="J17" s="3">
        <f t="shared" si="8"/>
        <v>-9.5</v>
      </c>
      <c r="K17" s="3">
        <f t="shared" si="9"/>
        <v>13</v>
      </c>
      <c r="L17" s="3">
        <f t="shared" si="10"/>
        <v>6</v>
      </c>
      <c r="M17" s="3"/>
      <c r="N17" s="3">
        <f t="shared" si="11"/>
        <v>0.20547547082073936</v>
      </c>
      <c r="O17" s="10">
        <f t="shared" si="12"/>
        <v>-16.5</v>
      </c>
      <c r="Q17">
        <v>4</v>
      </c>
      <c r="R17">
        <f t="shared" si="5"/>
        <v>22.5</v>
      </c>
      <c r="T17">
        <f t="shared" si="13"/>
        <v>-39</v>
      </c>
      <c r="U17" s="3">
        <f t="shared" si="7"/>
        <v>22.5</v>
      </c>
    </row>
    <row r="18" spans="1:21" x14ac:dyDescent="0.25">
      <c r="A18" s="9" t="s">
        <v>20</v>
      </c>
      <c r="B18" s="2">
        <v>105</v>
      </c>
      <c r="C18" s="2">
        <v>199</v>
      </c>
      <c r="D18" s="2">
        <v>58</v>
      </c>
      <c r="F18" s="3">
        <f>results_unroll_2__3[[#This Row],[insts]]/results_unroll_2__3[[#This Row],[cycles]]</f>
        <v>1.8952380952380952</v>
      </c>
      <c r="G18">
        <f>results_unroll_2__3[[#This Row],[cycles]]-CEILING(results_unroll_2__3[[#This Row],[insts]]/2,1)</f>
        <v>5</v>
      </c>
      <c r="J18" s="3">
        <f t="shared" si="8"/>
        <v>-31</v>
      </c>
      <c r="K18" s="3">
        <f t="shared" si="9"/>
        <v>13</v>
      </c>
      <c r="L18" s="3">
        <f t="shared" si="10"/>
        <v>6</v>
      </c>
      <c r="M18" s="3"/>
      <c r="N18" s="3">
        <f t="shared" si="11"/>
        <v>0.52759103641456573</v>
      </c>
      <c r="O18" s="10">
        <f t="shared" si="12"/>
        <v>-38</v>
      </c>
      <c r="Q18">
        <v>3</v>
      </c>
      <c r="R18">
        <f t="shared" si="5"/>
        <v>2</v>
      </c>
      <c r="T18">
        <f t="shared" si="13"/>
        <v>-40</v>
      </c>
      <c r="U18" s="3">
        <f t="shared" si="7"/>
        <v>2</v>
      </c>
    </row>
    <row r="19" spans="1:21" x14ac:dyDescent="0.25">
      <c r="A19" s="9" t="s">
        <v>21</v>
      </c>
      <c r="B19" s="2">
        <v>104.5</v>
      </c>
      <c r="C19" s="2">
        <v>199</v>
      </c>
      <c r="D19" s="2">
        <v>58</v>
      </c>
      <c r="F19" s="3">
        <f>results_unroll_2__3[[#This Row],[insts]]/results_unroll_2__3[[#This Row],[cycles]]</f>
        <v>1.9043062200956937</v>
      </c>
      <c r="G19">
        <f>results_unroll_2__3[[#This Row],[cycles]]-CEILING(results_unroll_2__3[[#This Row],[insts]]/2,1)</f>
        <v>4.5</v>
      </c>
      <c r="J19" s="3">
        <f t="shared" si="8"/>
        <v>-31.5</v>
      </c>
      <c r="K19" s="3">
        <f t="shared" si="9"/>
        <v>13</v>
      </c>
      <c r="L19" s="3">
        <f t="shared" si="10"/>
        <v>6</v>
      </c>
      <c r="M19" s="3"/>
      <c r="N19" s="3">
        <f t="shared" si="11"/>
        <v>0.53665916127216429</v>
      </c>
      <c r="O19" s="10">
        <f t="shared" si="12"/>
        <v>-38.5</v>
      </c>
      <c r="Q19">
        <v>4</v>
      </c>
      <c r="R19">
        <f t="shared" si="5"/>
        <v>0.5</v>
      </c>
      <c r="T19">
        <f t="shared" si="13"/>
        <v>-39</v>
      </c>
      <c r="U19" s="3">
        <f t="shared" si="7"/>
        <v>0.5</v>
      </c>
    </row>
    <row r="20" spans="1:21" x14ac:dyDescent="0.25">
      <c r="A20" s="9" t="s">
        <v>22</v>
      </c>
      <c r="B20" s="2">
        <v>103</v>
      </c>
      <c r="C20" s="2">
        <v>199</v>
      </c>
      <c r="D20" s="2">
        <v>58</v>
      </c>
      <c r="F20" s="3">
        <f>results_unroll_2__3[[#This Row],[insts]]/results_unroll_2__3[[#This Row],[cycles]]</f>
        <v>1.9320388349514563</v>
      </c>
      <c r="G20">
        <f>results_unroll_2__3[[#This Row],[cycles]]-CEILING(results_unroll_2__3[[#This Row],[insts]]/2,1)</f>
        <v>3</v>
      </c>
      <c r="J20" s="3">
        <f t="shared" si="8"/>
        <v>-33</v>
      </c>
      <c r="K20" s="3">
        <f t="shared" si="9"/>
        <v>13</v>
      </c>
      <c r="L20" s="3">
        <f t="shared" si="10"/>
        <v>6</v>
      </c>
      <c r="M20" s="3"/>
      <c r="N20" s="3">
        <f t="shared" si="11"/>
        <v>0.5643917761279269</v>
      </c>
      <c r="O20" s="10">
        <f t="shared" si="12"/>
        <v>-40</v>
      </c>
      <c r="Q20">
        <v>4</v>
      </c>
      <c r="R20">
        <f t="shared" si="5"/>
        <v>-1</v>
      </c>
      <c r="T20">
        <f t="shared" si="13"/>
        <v>-39</v>
      </c>
      <c r="U20" s="3">
        <f t="shared" si="7"/>
        <v>-1</v>
      </c>
    </row>
    <row r="21" spans="1:21" x14ac:dyDescent="0.25">
      <c r="A21" s="9" t="s">
        <v>23</v>
      </c>
      <c r="B21" s="2">
        <v>112.5</v>
      </c>
      <c r="C21" s="2">
        <v>199</v>
      </c>
      <c r="D21" s="2">
        <v>58</v>
      </c>
      <c r="F21" s="3">
        <f>results_unroll_2__3[[#This Row],[insts]]/results_unroll_2__3[[#This Row],[cycles]]</f>
        <v>1.768888888888889</v>
      </c>
      <c r="G21">
        <f>results_unroll_2__3[[#This Row],[cycles]]-CEILING(results_unroll_2__3[[#This Row],[insts]]/2,1)</f>
        <v>12.5</v>
      </c>
      <c r="J21" s="3">
        <f t="shared" si="8"/>
        <v>-23.5</v>
      </c>
      <c r="K21" s="3">
        <f t="shared" si="9"/>
        <v>13</v>
      </c>
      <c r="L21" s="3">
        <f t="shared" si="10"/>
        <v>6</v>
      </c>
      <c r="M21" s="3"/>
      <c r="N21" s="3">
        <f t="shared" si="11"/>
        <v>0.40124183006535952</v>
      </c>
      <c r="O21" s="10">
        <f t="shared" si="12"/>
        <v>-30.5</v>
      </c>
      <c r="Q21">
        <v>3</v>
      </c>
      <c r="R21">
        <f t="shared" si="5"/>
        <v>9.5</v>
      </c>
      <c r="T21">
        <f t="shared" si="13"/>
        <v>-40</v>
      </c>
      <c r="U21" s="3">
        <f t="shared" si="7"/>
        <v>9.5</v>
      </c>
    </row>
    <row r="22" spans="1:21" x14ac:dyDescent="0.25">
      <c r="A22" s="9" t="s">
        <v>24</v>
      </c>
      <c r="B22" s="2">
        <v>109.5</v>
      </c>
      <c r="C22" s="2">
        <v>199</v>
      </c>
      <c r="D22" s="2">
        <v>58</v>
      </c>
      <c r="F22" s="3">
        <f>results_unroll_2__3[[#This Row],[insts]]/results_unroll_2__3[[#This Row],[cycles]]</f>
        <v>1.817351598173516</v>
      </c>
      <c r="G22">
        <f>results_unroll_2__3[[#This Row],[cycles]]-CEILING(results_unroll_2__3[[#This Row],[insts]]/2,1)</f>
        <v>9.5</v>
      </c>
      <c r="J22" s="3">
        <f t="shared" si="8"/>
        <v>-26.5</v>
      </c>
      <c r="K22" s="3">
        <f t="shared" si="9"/>
        <v>13</v>
      </c>
      <c r="L22" s="3">
        <f t="shared" si="10"/>
        <v>6</v>
      </c>
      <c r="M22" s="3"/>
      <c r="N22" s="3">
        <f t="shared" si="11"/>
        <v>0.44970453934998655</v>
      </c>
      <c r="O22" s="10">
        <f t="shared" si="12"/>
        <v>-33.5</v>
      </c>
      <c r="Q22">
        <v>2</v>
      </c>
      <c r="R22">
        <f t="shared" si="5"/>
        <v>7.5</v>
      </c>
      <c r="T22">
        <f t="shared" si="13"/>
        <v>-41</v>
      </c>
      <c r="U22" s="3">
        <f t="shared" si="7"/>
        <v>7.5</v>
      </c>
    </row>
    <row r="23" spans="1:21" x14ac:dyDescent="0.25">
      <c r="A23" s="9" t="s">
        <v>25</v>
      </c>
      <c r="B23" s="2">
        <v>105</v>
      </c>
      <c r="C23" s="2">
        <v>199</v>
      </c>
      <c r="D23" s="2">
        <v>58</v>
      </c>
      <c r="F23" s="3">
        <f>results_unroll_2__3[[#This Row],[insts]]/results_unroll_2__3[[#This Row],[cycles]]</f>
        <v>1.8952380952380952</v>
      </c>
      <c r="G23">
        <f>results_unroll_2__3[[#This Row],[cycles]]-CEILING(results_unroll_2__3[[#This Row],[insts]]/2,1)</f>
        <v>5</v>
      </c>
      <c r="J23" s="3">
        <f t="shared" si="8"/>
        <v>-31</v>
      </c>
      <c r="K23" s="3">
        <f t="shared" si="9"/>
        <v>13</v>
      </c>
      <c r="L23" s="3">
        <f t="shared" si="10"/>
        <v>6</v>
      </c>
      <c r="M23" s="3"/>
      <c r="N23" s="3">
        <f t="shared" si="11"/>
        <v>0.52759103641456573</v>
      </c>
      <c r="O23" s="10">
        <f t="shared" si="12"/>
        <v>-38</v>
      </c>
      <c r="P23" t="s">
        <v>63</v>
      </c>
      <c r="Q23">
        <v>6</v>
      </c>
      <c r="R23">
        <f t="shared" si="5"/>
        <v>-1</v>
      </c>
      <c r="T23">
        <f t="shared" si="13"/>
        <v>-37</v>
      </c>
      <c r="U23" s="3">
        <f t="shared" si="7"/>
        <v>-1</v>
      </c>
    </row>
    <row r="24" spans="1:21" x14ac:dyDescent="0.25">
      <c r="A24" s="9" t="s">
        <v>26</v>
      </c>
      <c r="B24" s="2">
        <v>112.5</v>
      </c>
      <c r="C24" s="2">
        <v>199</v>
      </c>
      <c r="D24" s="2">
        <v>58</v>
      </c>
      <c r="F24" s="3">
        <f>results_unroll_2__3[[#This Row],[insts]]/results_unroll_2__3[[#This Row],[cycles]]</f>
        <v>1.768888888888889</v>
      </c>
      <c r="G24">
        <f>results_unroll_2__3[[#This Row],[cycles]]-CEILING(results_unroll_2__3[[#This Row],[insts]]/2,1)</f>
        <v>12.5</v>
      </c>
      <c r="J24" s="3">
        <f t="shared" si="8"/>
        <v>-23.5</v>
      </c>
      <c r="K24" s="3">
        <f t="shared" si="9"/>
        <v>13</v>
      </c>
      <c r="L24" s="3">
        <f t="shared" si="10"/>
        <v>6</v>
      </c>
      <c r="M24" s="3"/>
      <c r="N24" s="3">
        <f t="shared" si="11"/>
        <v>0.40124183006535952</v>
      </c>
      <c r="O24" s="10">
        <f t="shared" si="12"/>
        <v>-30.5</v>
      </c>
      <c r="P24" s="3">
        <f>MIN(O14:O25)</f>
        <v>-40</v>
      </c>
      <c r="Q24">
        <v>4</v>
      </c>
      <c r="R24">
        <f t="shared" si="5"/>
        <v>8.5</v>
      </c>
      <c r="T24">
        <f t="shared" si="13"/>
        <v>-39</v>
      </c>
      <c r="U24" s="3">
        <f t="shared" si="7"/>
        <v>8.5</v>
      </c>
    </row>
    <row r="25" spans="1:21" ht="15.75" thickBot="1" x14ac:dyDescent="0.3">
      <c r="A25" s="11" t="s">
        <v>27</v>
      </c>
      <c r="B25" s="12">
        <v>105</v>
      </c>
      <c r="C25" s="12">
        <v>199</v>
      </c>
      <c r="D25" s="12">
        <v>58</v>
      </c>
      <c r="E25" s="13"/>
      <c r="F25" s="14">
        <f>results_unroll_2__3[[#This Row],[insts]]/results_unroll_2__3[[#This Row],[cycles]]</f>
        <v>1.8952380952380952</v>
      </c>
      <c r="G25" s="13">
        <f>results_unroll_2__3[[#This Row],[cycles]]-CEILING(results_unroll_2__3[[#This Row],[insts]]/2,1)</f>
        <v>5</v>
      </c>
      <c r="H25" s="13"/>
      <c r="I25" s="13"/>
      <c r="J25" s="14">
        <f t="shared" si="8"/>
        <v>-31</v>
      </c>
      <c r="K25" s="14">
        <f t="shared" si="9"/>
        <v>13</v>
      </c>
      <c r="L25" s="14">
        <f t="shared" si="10"/>
        <v>6</v>
      </c>
      <c r="M25" s="14"/>
      <c r="N25" s="14">
        <f t="shared" si="11"/>
        <v>0.52759103641456573</v>
      </c>
      <c r="O25" s="15">
        <f t="shared" si="12"/>
        <v>-38</v>
      </c>
      <c r="Q25">
        <v>6</v>
      </c>
      <c r="R25">
        <f t="shared" si="5"/>
        <v>-1</v>
      </c>
      <c r="T25">
        <f t="shared" si="13"/>
        <v>-37</v>
      </c>
      <c r="U25" s="3">
        <f t="shared" si="7"/>
        <v>-1</v>
      </c>
    </row>
    <row r="26" spans="1:21" x14ac:dyDescent="0.25">
      <c r="A26" s="4" t="s">
        <v>28</v>
      </c>
      <c r="B26" s="5">
        <v>117</v>
      </c>
      <c r="C26" s="5">
        <v>212</v>
      </c>
      <c r="D26" s="5">
        <v>58</v>
      </c>
      <c r="E26" s="6"/>
      <c r="F26" s="7">
        <f>results_unroll_2__3[[#This Row],[insts]]/results_unroll_2__3[[#This Row],[cycles]]</f>
        <v>1.811965811965812</v>
      </c>
      <c r="G26" s="6">
        <f>results_unroll_2__3[[#This Row],[cycles]]-CEILING(results_unroll_2__3[[#This Row],[insts]]/2,1)</f>
        <v>11</v>
      </c>
      <c r="H26" s="6"/>
      <c r="I26" s="6"/>
      <c r="J26" s="7">
        <f>B26-B$65</f>
        <v>-37</v>
      </c>
      <c r="K26" s="7">
        <f>C26-C$65</f>
        <v>0</v>
      </c>
      <c r="L26" s="7">
        <f>D26-D$65</f>
        <v>0</v>
      </c>
      <c r="M26" s="7"/>
      <c r="N26" s="7">
        <f>F26-F$65</f>
        <v>0.43534243534243533</v>
      </c>
      <c r="O26" s="8">
        <f>G26-G$65</f>
        <v>-37</v>
      </c>
      <c r="Q26">
        <v>2</v>
      </c>
      <c r="R26">
        <f t="shared" si="5"/>
        <v>9</v>
      </c>
      <c r="T26">
        <f>Q26-Q$65</f>
        <v>-43</v>
      </c>
      <c r="U26" s="3">
        <f t="shared" si="7"/>
        <v>6</v>
      </c>
    </row>
    <row r="27" spans="1:21" x14ac:dyDescent="0.25">
      <c r="A27" s="9" t="s">
        <v>29</v>
      </c>
      <c r="B27" s="2">
        <v>111.5</v>
      </c>
      <c r="C27" s="2">
        <v>212</v>
      </c>
      <c r="D27" s="2">
        <v>58</v>
      </c>
      <c r="F27" s="3">
        <f>results_unroll_2__3[[#This Row],[insts]]/results_unroll_2__3[[#This Row],[cycles]]</f>
        <v>1.9013452914798206</v>
      </c>
      <c r="G27">
        <f>results_unroll_2__3[[#This Row],[cycles]]-CEILING(results_unroll_2__3[[#This Row],[insts]]/2,1)</f>
        <v>5.5</v>
      </c>
      <c r="J27" s="3">
        <f t="shared" ref="J27:J37" si="14">B27-B$65</f>
        <v>-42.5</v>
      </c>
      <c r="K27" s="3">
        <f t="shared" ref="K27:K37" si="15">C27-C$65</f>
        <v>0</v>
      </c>
      <c r="L27" s="3">
        <f t="shared" ref="L27:L37" si="16">D27-D$65</f>
        <v>0</v>
      </c>
      <c r="M27" s="3"/>
      <c r="N27" s="3">
        <f t="shared" ref="N27:N37" si="17">F27-F$65</f>
        <v>0.52472191485644393</v>
      </c>
      <c r="O27" s="10">
        <f t="shared" ref="O27:O37" si="18">G27-G$65</f>
        <v>-42.5</v>
      </c>
      <c r="Q27">
        <v>2</v>
      </c>
      <c r="R27">
        <f t="shared" si="5"/>
        <v>3.5</v>
      </c>
      <c r="T27">
        <f t="shared" ref="T27:T37" si="19">Q27-Q$65</f>
        <v>-43</v>
      </c>
      <c r="U27" s="3">
        <f t="shared" si="7"/>
        <v>0.5</v>
      </c>
    </row>
    <row r="28" spans="1:21" x14ac:dyDescent="0.25">
      <c r="A28" s="9" t="s">
        <v>30</v>
      </c>
      <c r="B28" s="2">
        <v>123.5</v>
      </c>
      <c r="C28" s="2">
        <v>212</v>
      </c>
      <c r="D28" s="2">
        <v>58</v>
      </c>
      <c r="F28" s="3">
        <f>results_unroll_2__3[[#This Row],[insts]]/results_unroll_2__3[[#This Row],[cycles]]</f>
        <v>1.7165991902834008</v>
      </c>
      <c r="G28">
        <f>results_unroll_2__3[[#This Row],[cycles]]-CEILING(results_unroll_2__3[[#This Row],[insts]]/2,1)</f>
        <v>17.5</v>
      </c>
      <c r="J28" s="3">
        <f t="shared" si="14"/>
        <v>-30.5</v>
      </c>
      <c r="K28" s="3">
        <f t="shared" si="15"/>
        <v>0</v>
      </c>
      <c r="L28" s="3">
        <f t="shared" si="16"/>
        <v>0</v>
      </c>
      <c r="M28" s="3"/>
      <c r="N28" s="3">
        <f t="shared" si="17"/>
        <v>0.33997581366002416</v>
      </c>
      <c r="O28" s="10">
        <f t="shared" si="18"/>
        <v>-30.5</v>
      </c>
      <c r="Q28">
        <v>2</v>
      </c>
      <c r="R28">
        <f t="shared" si="5"/>
        <v>15.5</v>
      </c>
      <c r="T28">
        <f t="shared" si="19"/>
        <v>-43</v>
      </c>
      <c r="U28" s="3">
        <f t="shared" si="7"/>
        <v>12.5</v>
      </c>
    </row>
    <row r="29" spans="1:21" x14ac:dyDescent="0.25">
      <c r="A29" s="9" t="s">
        <v>31</v>
      </c>
      <c r="B29" s="2">
        <v>135</v>
      </c>
      <c r="C29" s="2">
        <v>212</v>
      </c>
      <c r="D29" s="2">
        <v>58</v>
      </c>
      <c r="F29" s="3">
        <f>results_unroll_2__3[[#This Row],[insts]]/results_unroll_2__3[[#This Row],[cycles]]</f>
        <v>1.5703703703703704</v>
      </c>
      <c r="G29">
        <f>results_unroll_2__3[[#This Row],[cycles]]-CEILING(results_unroll_2__3[[#This Row],[insts]]/2,1)</f>
        <v>29</v>
      </c>
      <c r="J29" s="3">
        <f t="shared" si="14"/>
        <v>-19</v>
      </c>
      <c r="K29" s="3">
        <f t="shared" si="15"/>
        <v>0</v>
      </c>
      <c r="L29" s="3">
        <f t="shared" si="16"/>
        <v>0</v>
      </c>
      <c r="M29" s="3"/>
      <c r="N29" s="3">
        <f t="shared" si="17"/>
        <v>0.19374699374699378</v>
      </c>
      <c r="O29" s="10">
        <f t="shared" si="18"/>
        <v>-19</v>
      </c>
      <c r="Q29">
        <v>7</v>
      </c>
      <c r="R29">
        <f t="shared" si="5"/>
        <v>22</v>
      </c>
      <c r="T29">
        <f t="shared" si="19"/>
        <v>-38</v>
      </c>
      <c r="U29" s="3">
        <f t="shared" si="7"/>
        <v>19</v>
      </c>
    </row>
    <row r="30" spans="1:21" x14ac:dyDescent="0.25">
      <c r="A30" s="9" t="s">
        <v>32</v>
      </c>
      <c r="B30" s="2">
        <v>111</v>
      </c>
      <c r="C30" s="2">
        <v>212</v>
      </c>
      <c r="D30" s="2">
        <v>58</v>
      </c>
      <c r="F30" s="3">
        <f>results_unroll_2__3[[#This Row],[insts]]/results_unroll_2__3[[#This Row],[cycles]]</f>
        <v>1.9099099099099099</v>
      </c>
      <c r="G30">
        <f>results_unroll_2__3[[#This Row],[cycles]]-CEILING(results_unroll_2__3[[#This Row],[insts]]/2,1)</f>
        <v>5</v>
      </c>
      <c r="J30" s="3">
        <f t="shared" si="14"/>
        <v>-43</v>
      </c>
      <c r="K30" s="3">
        <f t="shared" si="15"/>
        <v>0</v>
      </c>
      <c r="L30" s="3">
        <f t="shared" si="16"/>
        <v>0</v>
      </c>
      <c r="M30" s="3"/>
      <c r="N30" s="3">
        <f t="shared" si="17"/>
        <v>0.5332865332865333</v>
      </c>
      <c r="O30" s="10">
        <f t="shared" si="18"/>
        <v>-43</v>
      </c>
      <c r="Q30">
        <v>4</v>
      </c>
      <c r="R30">
        <f t="shared" si="5"/>
        <v>1</v>
      </c>
      <c r="T30">
        <f t="shared" si="19"/>
        <v>-41</v>
      </c>
      <c r="U30" s="3">
        <f t="shared" si="7"/>
        <v>-2</v>
      </c>
    </row>
    <row r="31" spans="1:21" x14ac:dyDescent="0.25">
      <c r="A31" s="9" t="s">
        <v>33</v>
      </c>
      <c r="B31" s="2">
        <v>118</v>
      </c>
      <c r="C31" s="2">
        <v>212</v>
      </c>
      <c r="D31" s="2">
        <v>58</v>
      </c>
      <c r="F31" s="3">
        <f>results_unroll_2__3[[#This Row],[insts]]/results_unroll_2__3[[#This Row],[cycles]]</f>
        <v>1.7966101694915255</v>
      </c>
      <c r="G31">
        <f>results_unroll_2__3[[#This Row],[cycles]]-CEILING(results_unroll_2__3[[#This Row],[insts]]/2,1)</f>
        <v>12</v>
      </c>
      <c r="J31" s="3">
        <f t="shared" si="14"/>
        <v>-36</v>
      </c>
      <c r="K31" s="3">
        <f t="shared" si="15"/>
        <v>0</v>
      </c>
      <c r="L31" s="3">
        <f t="shared" si="16"/>
        <v>0</v>
      </c>
      <c r="M31" s="3"/>
      <c r="N31" s="3">
        <f t="shared" si="17"/>
        <v>0.41998679286814888</v>
      </c>
      <c r="O31" s="10">
        <f t="shared" si="18"/>
        <v>-36</v>
      </c>
      <c r="Q31">
        <v>4</v>
      </c>
      <c r="R31">
        <f t="shared" si="5"/>
        <v>8</v>
      </c>
      <c r="T31">
        <f t="shared" si="19"/>
        <v>-41</v>
      </c>
      <c r="U31" s="3">
        <f t="shared" si="7"/>
        <v>5</v>
      </c>
    </row>
    <row r="32" spans="1:21" x14ac:dyDescent="0.25">
      <c r="A32" s="9" t="s">
        <v>34</v>
      </c>
      <c r="B32" s="2">
        <v>116</v>
      </c>
      <c r="C32" s="2">
        <v>212</v>
      </c>
      <c r="D32" s="2">
        <v>58</v>
      </c>
      <c r="F32" s="3">
        <f>results_unroll_2__3[[#This Row],[insts]]/results_unroll_2__3[[#This Row],[cycles]]</f>
        <v>1.8275862068965518</v>
      </c>
      <c r="G32">
        <f>results_unroll_2__3[[#This Row],[cycles]]-CEILING(results_unroll_2__3[[#This Row],[insts]]/2,1)</f>
        <v>10</v>
      </c>
      <c r="J32" s="3">
        <f t="shared" si="14"/>
        <v>-38</v>
      </c>
      <c r="K32" s="3">
        <f t="shared" si="15"/>
        <v>0</v>
      </c>
      <c r="L32" s="3">
        <f t="shared" si="16"/>
        <v>0</v>
      </c>
      <c r="M32" s="3"/>
      <c r="N32" s="3">
        <f t="shared" si="17"/>
        <v>0.45096283027317519</v>
      </c>
      <c r="O32" s="10">
        <f t="shared" si="18"/>
        <v>-38</v>
      </c>
      <c r="Q32">
        <v>2</v>
      </c>
      <c r="R32">
        <f t="shared" si="5"/>
        <v>8</v>
      </c>
      <c r="T32">
        <f t="shared" si="19"/>
        <v>-43</v>
      </c>
      <c r="U32" s="3">
        <f t="shared" si="7"/>
        <v>5</v>
      </c>
    </row>
    <row r="33" spans="1:21" x14ac:dyDescent="0.25">
      <c r="A33" s="9" t="s">
        <v>35</v>
      </c>
      <c r="B33" s="2">
        <v>120.5</v>
      </c>
      <c r="C33" s="2">
        <v>212</v>
      </c>
      <c r="D33" s="2">
        <v>58</v>
      </c>
      <c r="F33" s="3">
        <f>results_unroll_2__3[[#This Row],[insts]]/results_unroll_2__3[[#This Row],[cycles]]</f>
        <v>1.7593360995850622</v>
      </c>
      <c r="G33">
        <f>results_unroll_2__3[[#This Row],[cycles]]-CEILING(results_unroll_2__3[[#This Row],[insts]]/2,1)</f>
        <v>14.5</v>
      </c>
      <c r="J33" s="3">
        <f t="shared" si="14"/>
        <v>-33.5</v>
      </c>
      <c r="K33" s="3">
        <f t="shared" si="15"/>
        <v>0</v>
      </c>
      <c r="L33" s="3">
        <f t="shared" si="16"/>
        <v>0</v>
      </c>
      <c r="M33" s="3"/>
      <c r="N33" s="3">
        <f t="shared" si="17"/>
        <v>0.38271272296168557</v>
      </c>
      <c r="O33" s="10">
        <f t="shared" si="18"/>
        <v>-33.5</v>
      </c>
      <c r="Q33">
        <v>4</v>
      </c>
      <c r="R33">
        <f t="shared" si="5"/>
        <v>10.5</v>
      </c>
      <c r="T33">
        <f t="shared" si="19"/>
        <v>-41</v>
      </c>
      <c r="U33" s="3">
        <f t="shared" si="7"/>
        <v>7.5</v>
      </c>
    </row>
    <row r="34" spans="1:21" x14ac:dyDescent="0.25">
      <c r="A34" s="9" t="s">
        <v>36</v>
      </c>
      <c r="B34" s="2">
        <v>120.5</v>
      </c>
      <c r="C34" s="2">
        <v>212</v>
      </c>
      <c r="D34" s="2">
        <v>58</v>
      </c>
      <c r="F34" s="3">
        <f>results_unroll_2__3[[#This Row],[insts]]/results_unroll_2__3[[#This Row],[cycles]]</f>
        <v>1.7593360995850622</v>
      </c>
      <c r="G34">
        <f>results_unroll_2__3[[#This Row],[cycles]]-CEILING(results_unroll_2__3[[#This Row],[insts]]/2,1)</f>
        <v>14.5</v>
      </c>
      <c r="J34" s="3">
        <f t="shared" si="14"/>
        <v>-33.5</v>
      </c>
      <c r="K34" s="3">
        <f t="shared" si="15"/>
        <v>0</v>
      </c>
      <c r="L34" s="3">
        <f t="shared" si="16"/>
        <v>0</v>
      </c>
      <c r="M34" s="3"/>
      <c r="N34" s="3">
        <f t="shared" si="17"/>
        <v>0.38271272296168557</v>
      </c>
      <c r="O34" s="10">
        <f t="shared" si="18"/>
        <v>-33.5</v>
      </c>
      <c r="Q34">
        <v>4</v>
      </c>
      <c r="R34">
        <f t="shared" si="5"/>
        <v>10.5</v>
      </c>
      <c r="T34">
        <f t="shared" si="19"/>
        <v>-41</v>
      </c>
      <c r="U34" s="3">
        <f t="shared" si="7"/>
        <v>7.5</v>
      </c>
    </row>
    <row r="35" spans="1:21" x14ac:dyDescent="0.25">
      <c r="A35" s="9" t="s">
        <v>37</v>
      </c>
      <c r="B35" s="2">
        <v>118.5</v>
      </c>
      <c r="C35" s="2">
        <v>212</v>
      </c>
      <c r="D35" s="2">
        <v>58</v>
      </c>
      <c r="F35" s="3">
        <f>results_unroll_2__3[[#This Row],[insts]]/results_unroll_2__3[[#This Row],[cycles]]</f>
        <v>1.7890295358649788</v>
      </c>
      <c r="G35">
        <f>results_unroll_2__3[[#This Row],[cycles]]-CEILING(results_unroll_2__3[[#This Row],[insts]]/2,1)</f>
        <v>12.5</v>
      </c>
      <c r="J35" s="3">
        <f t="shared" si="14"/>
        <v>-35.5</v>
      </c>
      <c r="K35" s="3">
        <f t="shared" si="15"/>
        <v>0</v>
      </c>
      <c r="L35" s="3">
        <f t="shared" si="16"/>
        <v>0</v>
      </c>
      <c r="M35" s="3"/>
      <c r="N35" s="3">
        <f t="shared" si="17"/>
        <v>0.41240615924160218</v>
      </c>
      <c r="O35" s="10">
        <f t="shared" si="18"/>
        <v>-35.5</v>
      </c>
      <c r="P35" t="s">
        <v>63</v>
      </c>
      <c r="Q35">
        <v>4</v>
      </c>
      <c r="R35">
        <f t="shared" si="5"/>
        <v>8.5</v>
      </c>
      <c r="T35">
        <f t="shared" si="19"/>
        <v>-41</v>
      </c>
      <c r="U35" s="3">
        <f t="shared" si="7"/>
        <v>5.5</v>
      </c>
    </row>
    <row r="36" spans="1:21" x14ac:dyDescent="0.25">
      <c r="A36" s="9" t="s">
        <v>38</v>
      </c>
      <c r="B36" s="2">
        <v>112.5</v>
      </c>
      <c r="C36" s="2">
        <v>212</v>
      </c>
      <c r="D36" s="2">
        <v>58</v>
      </c>
      <c r="F36" s="3">
        <f>results_unroll_2__3[[#This Row],[insts]]/results_unroll_2__3[[#This Row],[cycles]]</f>
        <v>1.8844444444444444</v>
      </c>
      <c r="G36">
        <f>results_unroll_2__3[[#This Row],[cycles]]-CEILING(results_unroll_2__3[[#This Row],[insts]]/2,1)</f>
        <v>6.5</v>
      </c>
      <c r="J36" s="3">
        <f t="shared" si="14"/>
        <v>-41.5</v>
      </c>
      <c r="K36" s="3">
        <f t="shared" si="15"/>
        <v>0</v>
      </c>
      <c r="L36" s="3">
        <f t="shared" si="16"/>
        <v>0</v>
      </c>
      <c r="M36" s="3"/>
      <c r="N36" s="3">
        <f t="shared" si="17"/>
        <v>0.50782106782106773</v>
      </c>
      <c r="O36" s="10">
        <f t="shared" si="18"/>
        <v>-41.5</v>
      </c>
      <c r="P36" s="3">
        <f>MIN(O26:O37)</f>
        <v>-43</v>
      </c>
      <c r="Q36">
        <v>5</v>
      </c>
      <c r="R36">
        <f t="shared" si="5"/>
        <v>1.5</v>
      </c>
      <c r="T36">
        <f t="shared" si="19"/>
        <v>-40</v>
      </c>
      <c r="U36" s="3">
        <f t="shared" si="7"/>
        <v>-1.5</v>
      </c>
    </row>
    <row r="37" spans="1:21" ht="15.75" thickBot="1" x14ac:dyDescent="0.3">
      <c r="A37" s="11" t="s">
        <v>39</v>
      </c>
      <c r="B37" s="12">
        <v>118.5</v>
      </c>
      <c r="C37" s="12">
        <v>212</v>
      </c>
      <c r="D37" s="12">
        <v>58</v>
      </c>
      <c r="E37" s="13"/>
      <c r="F37" s="14">
        <f>results_unroll_2__3[[#This Row],[insts]]/results_unroll_2__3[[#This Row],[cycles]]</f>
        <v>1.7890295358649788</v>
      </c>
      <c r="G37" s="13">
        <f>results_unroll_2__3[[#This Row],[cycles]]-CEILING(results_unroll_2__3[[#This Row],[insts]]/2,1)</f>
        <v>12.5</v>
      </c>
      <c r="H37" s="13"/>
      <c r="I37" s="13"/>
      <c r="J37" s="14">
        <f t="shared" si="14"/>
        <v>-35.5</v>
      </c>
      <c r="K37" s="14">
        <f t="shared" si="15"/>
        <v>0</v>
      </c>
      <c r="L37" s="14">
        <f t="shared" si="16"/>
        <v>0</v>
      </c>
      <c r="M37" s="14"/>
      <c r="N37" s="14">
        <f t="shared" si="17"/>
        <v>0.41240615924160218</v>
      </c>
      <c r="O37" s="15">
        <f t="shared" si="18"/>
        <v>-35.5</v>
      </c>
      <c r="Q37">
        <v>4</v>
      </c>
      <c r="R37">
        <f t="shared" si="5"/>
        <v>8.5</v>
      </c>
      <c r="T37">
        <f t="shared" si="19"/>
        <v>-41</v>
      </c>
      <c r="U37" s="3">
        <f t="shared" si="7"/>
        <v>5.5</v>
      </c>
    </row>
    <row r="38" spans="1:21" x14ac:dyDescent="0.25">
      <c r="A38" s="4" t="s">
        <v>40</v>
      </c>
      <c r="B38" s="5">
        <v>112</v>
      </c>
      <c r="C38" s="5">
        <v>199</v>
      </c>
      <c r="D38" s="5">
        <v>58</v>
      </c>
      <c r="E38" s="6"/>
      <c r="F38" s="7">
        <f>results_unroll_2__3[[#This Row],[insts]]/results_unroll_2__3[[#This Row],[cycles]]</f>
        <v>1.7767857142857142</v>
      </c>
      <c r="G38" s="6">
        <f>results_unroll_2__3[[#This Row],[cycles]]-CEILING(results_unroll_2__3[[#This Row],[insts]]/2,1)</f>
        <v>12</v>
      </c>
      <c r="H38" s="6"/>
      <c r="I38" s="6"/>
      <c r="J38" s="7">
        <f>B38-B$66</f>
        <v>-24</v>
      </c>
      <c r="K38" s="7">
        <f>C38-C$66</f>
        <v>13</v>
      </c>
      <c r="L38" s="7">
        <f>D38-D$66</f>
        <v>6</v>
      </c>
      <c r="M38" s="7"/>
      <c r="N38" s="7">
        <f>F38-F$66</f>
        <v>0.40913865546218475</v>
      </c>
      <c r="O38" s="8">
        <f>G38-G$66</f>
        <v>-31</v>
      </c>
      <c r="Q38">
        <v>6</v>
      </c>
      <c r="R38">
        <f t="shared" si="5"/>
        <v>6</v>
      </c>
      <c r="T38">
        <f>Q38-Q$66</f>
        <v>-37</v>
      </c>
      <c r="U38" s="3">
        <f t="shared" si="7"/>
        <v>6</v>
      </c>
    </row>
    <row r="39" spans="1:21" x14ac:dyDescent="0.25">
      <c r="A39" s="9" t="s">
        <v>41</v>
      </c>
      <c r="B39" s="2">
        <v>110.5</v>
      </c>
      <c r="C39" s="2">
        <v>199</v>
      </c>
      <c r="D39" s="2">
        <v>58</v>
      </c>
      <c r="F39" s="3">
        <f>results_unroll_2__3[[#This Row],[insts]]/results_unroll_2__3[[#This Row],[cycles]]</f>
        <v>1.8009049773755657</v>
      </c>
      <c r="G39">
        <f>results_unroll_2__3[[#This Row],[cycles]]-CEILING(results_unroll_2__3[[#This Row],[insts]]/2,1)</f>
        <v>10.5</v>
      </c>
      <c r="J39" s="3">
        <f t="shared" ref="J39:J49" si="20">B39-B$66</f>
        <v>-25.5</v>
      </c>
      <c r="K39" s="3">
        <f t="shared" ref="K39:K49" si="21">C39-C$66</f>
        <v>13</v>
      </c>
      <c r="L39" s="3">
        <f t="shared" ref="L39:L49" si="22">D39-D$66</f>
        <v>6</v>
      </c>
      <c r="M39" s="3"/>
      <c r="N39" s="3">
        <f t="shared" ref="N39:N49" si="23">F39-F$66</f>
        <v>0.43325791855203621</v>
      </c>
      <c r="O39" s="10">
        <f t="shared" ref="O39:O49" si="24">G39-G$66</f>
        <v>-32.5</v>
      </c>
      <c r="Q39">
        <v>4</v>
      </c>
      <c r="R39">
        <f t="shared" si="5"/>
        <v>6.5</v>
      </c>
      <c r="T39">
        <f t="shared" ref="T39:T49" si="25">Q39-Q$66</f>
        <v>-39</v>
      </c>
      <c r="U39" s="3">
        <f t="shared" si="7"/>
        <v>6.5</v>
      </c>
    </row>
    <row r="40" spans="1:21" x14ac:dyDescent="0.25">
      <c r="A40" s="9" t="s">
        <v>42</v>
      </c>
      <c r="B40" s="2">
        <v>117</v>
      </c>
      <c r="C40" s="2">
        <v>199</v>
      </c>
      <c r="D40" s="2">
        <v>58</v>
      </c>
      <c r="F40" s="3">
        <f>results_unroll_2__3[[#This Row],[insts]]/results_unroll_2__3[[#This Row],[cycles]]</f>
        <v>1.7008547008547008</v>
      </c>
      <c r="G40">
        <f>results_unroll_2__3[[#This Row],[cycles]]-CEILING(results_unroll_2__3[[#This Row],[insts]]/2,1)</f>
        <v>17</v>
      </c>
      <c r="J40" s="3">
        <f t="shared" si="20"/>
        <v>-19</v>
      </c>
      <c r="K40" s="3">
        <f t="shared" si="21"/>
        <v>13</v>
      </c>
      <c r="L40" s="3">
        <f t="shared" si="22"/>
        <v>6</v>
      </c>
      <c r="M40" s="3"/>
      <c r="N40" s="3">
        <f t="shared" si="23"/>
        <v>0.33320764203117137</v>
      </c>
      <c r="O40" s="10">
        <f t="shared" si="24"/>
        <v>-26</v>
      </c>
      <c r="Q40">
        <v>3</v>
      </c>
      <c r="R40">
        <f t="shared" si="5"/>
        <v>14</v>
      </c>
      <c r="T40">
        <f t="shared" si="25"/>
        <v>-40</v>
      </c>
      <c r="U40" s="3">
        <f t="shared" si="7"/>
        <v>14</v>
      </c>
    </row>
    <row r="41" spans="1:21" x14ac:dyDescent="0.25">
      <c r="A41" s="9" t="s">
        <v>43</v>
      </c>
      <c r="B41" s="2">
        <v>111</v>
      </c>
      <c r="C41" s="2">
        <v>199</v>
      </c>
      <c r="D41" s="2">
        <v>58</v>
      </c>
      <c r="F41" s="3">
        <f>results_unroll_2__3[[#This Row],[insts]]/results_unroll_2__3[[#This Row],[cycles]]</f>
        <v>1.7927927927927927</v>
      </c>
      <c r="G41">
        <f>results_unroll_2__3[[#This Row],[cycles]]-CEILING(results_unroll_2__3[[#This Row],[insts]]/2,1)</f>
        <v>11</v>
      </c>
      <c r="J41" s="3">
        <f t="shared" si="20"/>
        <v>-25</v>
      </c>
      <c r="K41" s="3">
        <f t="shared" si="21"/>
        <v>13</v>
      </c>
      <c r="L41" s="3">
        <f t="shared" si="22"/>
        <v>6</v>
      </c>
      <c r="M41" s="3"/>
      <c r="N41" s="3">
        <f t="shared" si="23"/>
        <v>0.42514573396926325</v>
      </c>
      <c r="O41" s="10">
        <f t="shared" si="24"/>
        <v>-32</v>
      </c>
      <c r="Q41">
        <v>3</v>
      </c>
      <c r="R41">
        <f t="shared" si="5"/>
        <v>8</v>
      </c>
      <c r="T41">
        <f t="shared" si="25"/>
        <v>-40</v>
      </c>
      <c r="U41" s="3">
        <f t="shared" si="7"/>
        <v>8</v>
      </c>
    </row>
    <row r="42" spans="1:21" x14ac:dyDescent="0.25">
      <c r="A42" s="9" t="s">
        <v>44</v>
      </c>
      <c r="B42" s="2">
        <v>126</v>
      </c>
      <c r="C42" s="2">
        <v>199</v>
      </c>
      <c r="D42" s="2">
        <v>58</v>
      </c>
      <c r="F42" s="3">
        <f>results_unroll_2__3[[#This Row],[insts]]/results_unroll_2__3[[#This Row],[cycles]]</f>
        <v>1.5793650793650793</v>
      </c>
      <c r="G42">
        <f>results_unroll_2__3[[#This Row],[cycles]]-CEILING(results_unroll_2__3[[#This Row],[insts]]/2,1)</f>
        <v>26</v>
      </c>
      <c r="J42" s="3">
        <f t="shared" si="20"/>
        <v>-10</v>
      </c>
      <c r="K42" s="3">
        <f t="shared" si="21"/>
        <v>13</v>
      </c>
      <c r="L42" s="3">
        <f t="shared" si="22"/>
        <v>6</v>
      </c>
      <c r="M42" s="3"/>
      <c r="N42" s="3">
        <f t="shared" si="23"/>
        <v>0.21171802054154987</v>
      </c>
      <c r="O42" s="10">
        <f t="shared" si="24"/>
        <v>-17</v>
      </c>
      <c r="Q42">
        <v>3</v>
      </c>
      <c r="R42">
        <f t="shared" si="5"/>
        <v>23</v>
      </c>
      <c r="T42">
        <f t="shared" si="25"/>
        <v>-40</v>
      </c>
      <c r="U42" s="3">
        <f t="shared" si="7"/>
        <v>23</v>
      </c>
    </row>
    <row r="43" spans="1:21" x14ac:dyDescent="0.25">
      <c r="A43" s="9" t="s">
        <v>45</v>
      </c>
      <c r="B43" s="2">
        <v>106</v>
      </c>
      <c r="C43" s="2">
        <v>199</v>
      </c>
      <c r="D43" s="2">
        <v>58</v>
      </c>
      <c r="F43" s="3">
        <f>results_unroll_2__3[[#This Row],[insts]]/results_unroll_2__3[[#This Row],[cycles]]</f>
        <v>1.8773584905660377</v>
      </c>
      <c r="G43">
        <f>results_unroll_2__3[[#This Row],[cycles]]-CEILING(results_unroll_2__3[[#This Row],[insts]]/2,1)</f>
        <v>6</v>
      </c>
      <c r="J43" s="3">
        <f t="shared" si="20"/>
        <v>-30</v>
      </c>
      <c r="K43" s="3">
        <f t="shared" si="21"/>
        <v>13</v>
      </c>
      <c r="L43" s="3">
        <f t="shared" si="22"/>
        <v>6</v>
      </c>
      <c r="M43" s="3"/>
      <c r="N43" s="3">
        <f t="shared" si="23"/>
        <v>0.50971143174250821</v>
      </c>
      <c r="O43" s="10">
        <f t="shared" si="24"/>
        <v>-37</v>
      </c>
      <c r="Q43">
        <v>5</v>
      </c>
      <c r="R43">
        <f t="shared" si="5"/>
        <v>1</v>
      </c>
      <c r="T43">
        <f t="shared" si="25"/>
        <v>-38</v>
      </c>
      <c r="U43" s="3">
        <f t="shared" si="7"/>
        <v>1</v>
      </c>
    </row>
    <row r="44" spans="1:21" x14ac:dyDescent="0.25">
      <c r="A44" s="9" t="s">
        <v>46</v>
      </c>
      <c r="B44" s="2">
        <v>106</v>
      </c>
      <c r="C44" s="2">
        <v>199</v>
      </c>
      <c r="D44" s="2">
        <v>58</v>
      </c>
      <c r="F44" s="3">
        <f>results_unroll_2__3[[#This Row],[insts]]/results_unroll_2__3[[#This Row],[cycles]]</f>
        <v>1.8773584905660377</v>
      </c>
      <c r="G44">
        <f>results_unroll_2__3[[#This Row],[cycles]]-CEILING(results_unroll_2__3[[#This Row],[insts]]/2,1)</f>
        <v>6</v>
      </c>
      <c r="J44" s="3">
        <f t="shared" si="20"/>
        <v>-30</v>
      </c>
      <c r="K44" s="3">
        <f t="shared" si="21"/>
        <v>13</v>
      </c>
      <c r="L44" s="3">
        <f t="shared" si="22"/>
        <v>6</v>
      </c>
      <c r="M44" s="3"/>
      <c r="N44" s="3">
        <f t="shared" si="23"/>
        <v>0.50971143174250821</v>
      </c>
      <c r="O44" s="10">
        <f t="shared" si="24"/>
        <v>-37</v>
      </c>
      <c r="Q44">
        <v>6</v>
      </c>
      <c r="R44">
        <f t="shared" si="5"/>
        <v>0</v>
      </c>
      <c r="T44">
        <f t="shared" si="25"/>
        <v>-37</v>
      </c>
      <c r="U44" s="3">
        <f t="shared" si="7"/>
        <v>0</v>
      </c>
    </row>
    <row r="45" spans="1:21" x14ac:dyDescent="0.25">
      <c r="A45" s="9" t="s">
        <v>47</v>
      </c>
      <c r="B45" s="2">
        <v>110</v>
      </c>
      <c r="C45" s="2">
        <v>199</v>
      </c>
      <c r="D45" s="2">
        <v>58</v>
      </c>
      <c r="F45" s="3">
        <f>results_unroll_2__3[[#This Row],[insts]]/results_unroll_2__3[[#This Row],[cycles]]</f>
        <v>1.8090909090909091</v>
      </c>
      <c r="G45">
        <f>results_unroll_2__3[[#This Row],[cycles]]-CEILING(results_unroll_2__3[[#This Row],[insts]]/2,1)</f>
        <v>10</v>
      </c>
      <c r="J45" s="3">
        <f t="shared" si="20"/>
        <v>-26</v>
      </c>
      <c r="K45" s="3">
        <f t="shared" si="21"/>
        <v>13</v>
      </c>
      <c r="L45" s="3">
        <f t="shared" si="22"/>
        <v>6</v>
      </c>
      <c r="M45" s="3"/>
      <c r="N45" s="3">
        <f t="shared" si="23"/>
        <v>0.44144385026737964</v>
      </c>
      <c r="O45" s="10">
        <f t="shared" si="24"/>
        <v>-33</v>
      </c>
      <c r="Q45">
        <v>3</v>
      </c>
      <c r="R45">
        <f t="shared" si="5"/>
        <v>7</v>
      </c>
      <c r="T45">
        <f t="shared" si="25"/>
        <v>-40</v>
      </c>
      <c r="U45" s="3">
        <f t="shared" si="7"/>
        <v>7</v>
      </c>
    </row>
    <row r="46" spans="1:21" x14ac:dyDescent="0.25">
      <c r="A46" s="9" t="s">
        <v>48</v>
      </c>
      <c r="B46" s="2">
        <v>109</v>
      </c>
      <c r="C46" s="2">
        <v>199</v>
      </c>
      <c r="D46" s="2">
        <v>58</v>
      </c>
      <c r="F46" s="3">
        <f>results_unroll_2__3[[#This Row],[insts]]/results_unroll_2__3[[#This Row],[cycles]]</f>
        <v>1.8256880733944953</v>
      </c>
      <c r="G46">
        <f>results_unroll_2__3[[#This Row],[cycles]]-CEILING(results_unroll_2__3[[#This Row],[insts]]/2,1)</f>
        <v>9</v>
      </c>
      <c r="J46" s="3">
        <f t="shared" si="20"/>
        <v>-27</v>
      </c>
      <c r="K46" s="3">
        <f t="shared" si="21"/>
        <v>13</v>
      </c>
      <c r="L46" s="3">
        <f t="shared" si="22"/>
        <v>6</v>
      </c>
      <c r="M46" s="3"/>
      <c r="N46" s="3">
        <f t="shared" si="23"/>
        <v>0.45804101457096591</v>
      </c>
      <c r="O46" s="10">
        <f t="shared" si="24"/>
        <v>-34</v>
      </c>
      <c r="Q46">
        <v>1</v>
      </c>
      <c r="R46">
        <f t="shared" si="5"/>
        <v>8</v>
      </c>
      <c r="T46">
        <f t="shared" si="25"/>
        <v>-42</v>
      </c>
      <c r="U46" s="3">
        <f t="shared" si="7"/>
        <v>8</v>
      </c>
    </row>
    <row r="47" spans="1:21" x14ac:dyDescent="0.25">
      <c r="A47" s="9" t="s">
        <v>49</v>
      </c>
      <c r="B47" s="2">
        <v>109.5</v>
      </c>
      <c r="C47" s="2">
        <v>199</v>
      </c>
      <c r="D47" s="2">
        <v>58</v>
      </c>
      <c r="F47" s="3">
        <f>results_unroll_2__3[[#This Row],[insts]]/results_unroll_2__3[[#This Row],[cycles]]</f>
        <v>1.817351598173516</v>
      </c>
      <c r="G47">
        <f>results_unroll_2__3[[#This Row],[cycles]]-CEILING(results_unroll_2__3[[#This Row],[insts]]/2,1)</f>
        <v>9.5</v>
      </c>
      <c r="J47" s="3">
        <f t="shared" si="20"/>
        <v>-26.5</v>
      </c>
      <c r="K47" s="3">
        <f t="shared" si="21"/>
        <v>13</v>
      </c>
      <c r="L47" s="3">
        <f t="shared" si="22"/>
        <v>6</v>
      </c>
      <c r="M47" s="3"/>
      <c r="N47" s="3">
        <f t="shared" si="23"/>
        <v>0.44970453934998655</v>
      </c>
      <c r="O47" s="10">
        <f t="shared" si="24"/>
        <v>-33.5</v>
      </c>
      <c r="P47" t="s">
        <v>63</v>
      </c>
      <c r="Q47">
        <v>4</v>
      </c>
      <c r="R47">
        <f t="shared" si="5"/>
        <v>5.5</v>
      </c>
      <c r="T47">
        <f t="shared" si="25"/>
        <v>-39</v>
      </c>
      <c r="U47" s="3">
        <f t="shared" si="7"/>
        <v>5.5</v>
      </c>
    </row>
    <row r="48" spans="1:21" x14ac:dyDescent="0.25">
      <c r="A48" s="9" t="s">
        <v>50</v>
      </c>
      <c r="B48" s="2">
        <v>105.5</v>
      </c>
      <c r="C48" s="2">
        <v>199</v>
      </c>
      <c r="D48" s="2">
        <v>58</v>
      </c>
      <c r="F48" s="3">
        <f>results_unroll_2__3[[#This Row],[insts]]/results_unroll_2__3[[#This Row],[cycles]]</f>
        <v>1.886255924170616</v>
      </c>
      <c r="G48">
        <f>results_unroll_2__3[[#This Row],[cycles]]-CEILING(results_unroll_2__3[[#This Row],[insts]]/2,1)</f>
        <v>5.5</v>
      </c>
      <c r="J48" s="3">
        <f t="shared" si="20"/>
        <v>-30.5</v>
      </c>
      <c r="K48" s="3">
        <f t="shared" si="21"/>
        <v>13</v>
      </c>
      <c r="L48" s="3">
        <f t="shared" si="22"/>
        <v>6</v>
      </c>
      <c r="M48" s="3"/>
      <c r="N48" s="3">
        <f t="shared" si="23"/>
        <v>0.51860886534708661</v>
      </c>
      <c r="O48" s="10">
        <f t="shared" si="24"/>
        <v>-37.5</v>
      </c>
      <c r="P48" s="3">
        <f>MIN(O38:O49)</f>
        <v>-37.5</v>
      </c>
      <c r="Q48">
        <v>6</v>
      </c>
      <c r="R48">
        <f t="shared" si="5"/>
        <v>-0.5</v>
      </c>
      <c r="T48">
        <f t="shared" si="25"/>
        <v>-37</v>
      </c>
      <c r="U48" s="3">
        <f t="shared" si="7"/>
        <v>-0.5</v>
      </c>
    </row>
    <row r="49" spans="1:21" ht="15.75" thickBot="1" x14ac:dyDescent="0.3">
      <c r="A49" s="11" t="s">
        <v>51</v>
      </c>
      <c r="B49" s="12">
        <v>113</v>
      </c>
      <c r="C49" s="12">
        <v>199</v>
      </c>
      <c r="D49" s="12">
        <v>58</v>
      </c>
      <c r="E49" s="13"/>
      <c r="F49" s="14">
        <f>results_unroll_2__3[[#This Row],[insts]]/results_unroll_2__3[[#This Row],[cycles]]</f>
        <v>1.7610619469026549</v>
      </c>
      <c r="G49" s="13">
        <f>results_unroll_2__3[[#This Row],[cycles]]-CEILING(results_unroll_2__3[[#This Row],[insts]]/2,1)</f>
        <v>13</v>
      </c>
      <c r="H49" s="13"/>
      <c r="I49" s="13"/>
      <c r="J49" s="14">
        <f t="shared" si="20"/>
        <v>-23</v>
      </c>
      <c r="K49" s="14">
        <f t="shared" si="21"/>
        <v>13</v>
      </c>
      <c r="L49" s="14">
        <f t="shared" si="22"/>
        <v>6</v>
      </c>
      <c r="M49" s="14"/>
      <c r="N49" s="14">
        <f t="shared" si="23"/>
        <v>0.3934148880791255</v>
      </c>
      <c r="O49" s="15">
        <f t="shared" si="24"/>
        <v>-30</v>
      </c>
      <c r="Q49">
        <v>6</v>
      </c>
      <c r="R49">
        <f t="shared" si="5"/>
        <v>7</v>
      </c>
      <c r="T49">
        <f t="shared" si="25"/>
        <v>-37</v>
      </c>
      <c r="U49" s="3">
        <f t="shared" si="7"/>
        <v>7</v>
      </c>
    </row>
    <row r="50" spans="1:21" x14ac:dyDescent="0.25">
      <c r="A50" s="9"/>
      <c r="B50" s="2"/>
      <c r="C50" s="2"/>
      <c r="D50" s="2"/>
      <c r="F50" s="3"/>
      <c r="O50" s="16"/>
    </row>
    <row r="51" spans="1:21" x14ac:dyDescent="0.25">
      <c r="A51" s="9"/>
      <c r="B51" s="2"/>
      <c r="C51" s="2"/>
      <c r="D51" s="2"/>
      <c r="F51" s="3"/>
      <c r="O51" s="16" t="s">
        <v>53</v>
      </c>
      <c r="P51" t="s">
        <v>52</v>
      </c>
      <c r="R51" t="s">
        <v>52</v>
      </c>
      <c r="U51" t="s">
        <v>52</v>
      </c>
    </row>
    <row r="52" spans="1:21" x14ac:dyDescent="0.25">
      <c r="A52" s="9"/>
      <c r="B52" s="2"/>
      <c r="C52" s="2"/>
      <c r="D52" s="2"/>
      <c r="F52" s="3"/>
      <c r="O52" s="10">
        <f>MIN(O2:O49)</f>
        <v>-43</v>
      </c>
      <c r="P52" s="3">
        <f>AVERAGE(P48,P36,P24,P12)</f>
        <v>-40.625</v>
      </c>
      <c r="R52">
        <f>AVERAGE(R2:R49)</f>
        <v>8.0520833333333339</v>
      </c>
      <c r="U52" s="3">
        <f>AVERAGE(U2:U49)</f>
        <v>6.552083333333333</v>
      </c>
    </row>
    <row r="53" spans="1:21" x14ac:dyDescent="0.25">
      <c r="A53" s="9"/>
      <c r="B53" s="2"/>
      <c r="C53" s="2"/>
      <c r="D53" s="2"/>
      <c r="F53" s="3"/>
      <c r="O53" s="16"/>
    </row>
    <row r="54" spans="1:21" x14ac:dyDescent="0.25">
      <c r="A54" s="9"/>
      <c r="B54" s="2"/>
      <c r="C54" s="2"/>
      <c r="D54" s="2"/>
      <c r="F54" s="3"/>
      <c r="O54" s="16"/>
    </row>
    <row r="55" spans="1:21" x14ac:dyDescent="0.25">
      <c r="A55" s="9"/>
      <c r="B55" s="2"/>
      <c r="C55" s="2"/>
      <c r="D55" s="2"/>
      <c r="F55" s="3"/>
      <c r="O55" s="16"/>
    </row>
    <row r="56" spans="1:21" x14ac:dyDescent="0.25">
      <c r="A56" s="9"/>
      <c r="B56" s="2"/>
      <c r="C56" s="2"/>
      <c r="D56" s="2"/>
      <c r="F56" s="3"/>
      <c r="O56" s="16"/>
    </row>
    <row r="57" spans="1:21" x14ac:dyDescent="0.25">
      <c r="A57" s="9"/>
      <c r="B57" s="2"/>
      <c r="C57" s="2"/>
      <c r="D57" s="2"/>
      <c r="F57" s="3"/>
      <c r="O57" s="16"/>
    </row>
    <row r="58" spans="1:21" x14ac:dyDescent="0.25">
      <c r="A58" s="9"/>
      <c r="B58" s="2"/>
      <c r="C58" s="2"/>
      <c r="D58" s="2"/>
      <c r="F58" s="3"/>
      <c r="O58" s="16"/>
    </row>
    <row r="59" spans="1:21" x14ac:dyDescent="0.25">
      <c r="A59" s="9"/>
      <c r="B59" s="2"/>
      <c r="C59" s="2"/>
      <c r="D59" s="2"/>
      <c r="F59" s="3"/>
      <c r="O59" s="16"/>
    </row>
    <row r="60" spans="1:21" x14ac:dyDescent="0.25">
      <c r="A60" s="9"/>
      <c r="B60" s="2"/>
      <c r="C60" s="2"/>
      <c r="D60" s="2"/>
      <c r="F60" s="3"/>
      <c r="O60" s="16"/>
    </row>
    <row r="61" spans="1:21" ht="15.75" thickBot="1" x14ac:dyDescent="0.3">
      <c r="A61" s="11"/>
      <c r="B61" s="12"/>
      <c r="C61" s="12"/>
      <c r="D61" s="12"/>
      <c r="E61" s="13"/>
      <c r="F61" s="14"/>
      <c r="G61" s="13"/>
      <c r="H61" s="13"/>
      <c r="I61" s="13"/>
      <c r="J61" s="13"/>
      <c r="K61" s="13"/>
      <c r="L61" s="13"/>
      <c r="M61" s="13"/>
      <c r="N61" s="13"/>
      <c r="O61" s="17"/>
    </row>
    <row r="62" spans="1:21" x14ac:dyDescent="0.25">
      <c r="B62" s="2"/>
      <c r="C62" s="2"/>
      <c r="D62" s="2"/>
      <c r="F62" s="3"/>
    </row>
    <row r="63" spans="1:21" x14ac:dyDescent="0.25">
      <c r="A63" t="s">
        <v>56</v>
      </c>
      <c r="B63" s="2">
        <v>154</v>
      </c>
      <c r="C63" s="2">
        <v>212</v>
      </c>
      <c r="D63" s="2">
        <v>58</v>
      </c>
      <c r="F63" s="3">
        <f>results_unroll_2__3[[#This Row],[insts]]/results_unroll_2__3[[#This Row],[cycles]]</f>
        <v>1.3766233766233766</v>
      </c>
      <c r="G63">
        <f>results_unroll_2__3[[#This Row],[cycles]]-CEILING(results_unroll_2__3[[#This Row],[insts]]/2,1)</f>
        <v>48</v>
      </c>
      <c r="Q63">
        <v>45</v>
      </c>
      <c r="R63">
        <f>G63-Q63</f>
        <v>3</v>
      </c>
    </row>
    <row r="64" spans="1:21" x14ac:dyDescent="0.25">
      <c r="A64" t="s">
        <v>57</v>
      </c>
      <c r="B64" s="2">
        <v>136</v>
      </c>
      <c r="C64" s="2">
        <v>186</v>
      </c>
      <c r="D64" s="2">
        <v>52</v>
      </c>
      <c r="F64" s="3">
        <f>results_unroll_2__3[[#This Row],[insts]]/results_unroll_2__3[[#This Row],[cycles]]</f>
        <v>1.3676470588235294</v>
      </c>
      <c r="G64">
        <f>results_unroll_2__3[[#This Row],[cycles]]-CEILING(results_unroll_2__3[[#This Row],[insts]]/2,1)</f>
        <v>43</v>
      </c>
      <c r="Q64">
        <v>43</v>
      </c>
      <c r="R64">
        <f t="shared" ref="R64:R66" si="26">G64-Q64</f>
        <v>0</v>
      </c>
    </row>
    <row r="65" spans="1:18" x14ac:dyDescent="0.25">
      <c r="A65" t="s">
        <v>58</v>
      </c>
      <c r="B65" s="2">
        <v>154</v>
      </c>
      <c r="C65" s="2">
        <v>212</v>
      </c>
      <c r="D65" s="2">
        <v>58</v>
      </c>
      <c r="F65" s="3">
        <f>results_unroll_2__3[[#This Row],[insts]]/results_unroll_2__3[[#This Row],[cycles]]</f>
        <v>1.3766233766233766</v>
      </c>
      <c r="G65">
        <f>results_unroll_2__3[[#This Row],[cycles]]-CEILING(results_unroll_2__3[[#This Row],[insts]]/2,1)</f>
        <v>48</v>
      </c>
      <c r="Q65">
        <v>45</v>
      </c>
      <c r="R65">
        <f t="shared" si="26"/>
        <v>3</v>
      </c>
    </row>
    <row r="66" spans="1:18" x14ac:dyDescent="0.25">
      <c r="A66" t="s">
        <v>59</v>
      </c>
      <c r="B66" s="2">
        <v>136</v>
      </c>
      <c r="C66" s="2">
        <v>186</v>
      </c>
      <c r="D66" s="2">
        <v>52</v>
      </c>
      <c r="F66" s="3">
        <f>results_unroll_2__3[[#This Row],[insts]]/results_unroll_2__3[[#This Row],[cycles]]</f>
        <v>1.3676470588235294</v>
      </c>
      <c r="G66">
        <f>results_unroll_2__3[[#This Row],[cycles]]-CEILING(results_unroll_2__3[[#This Row],[insts]]/2,1)</f>
        <v>43</v>
      </c>
      <c r="Q66">
        <v>43</v>
      </c>
      <c r="R66">
        <f t="shared" si="26"/>
        <v>0</v>
      </c>
    </row>
    <row r="67" spans="1:18" x14ac:dyDescent="0.25">
      <c r="F67" s="3"/>
    </row>
    <row r="68" spans="1:18" x14ac:dyDescent="0.25">
      <c r="F68" s="3"/>
    </row>
    <row r="69" spans="1:18" x14ac:dyDescent="0.25">
      <c r="F69" s="3"/>
    </row>
    <row r="70" spans="1:18" x14ac:dyDescent="0.25">
      <c r="B70" t="s">
        <v>52</v>
      </c>
      <c r="F70" s="3"/>
    </row>
    <row r="71" spans="1:18" x14ac:dyDescent="0.25">
      <c r="B71" s="18">
        <f>AVERAGE(B63:B66)</f>
        <v>145</v>
      </c>
      <c r="F71" s="3">
        <f>results_unroll_2__3[[#Totals],[cycles]]/(results_unroll_2__3[[#Totals],[cycles]]+P52)</f>
        <v>1.3892215568862276</v>
      </c>
    </row>
    <row r="72" spans="1:18" x14ac:dyDescent="0.25">
      <c r="F72" s="3"/>
    </row>
    <row r="73" spans="1:18" x14ac:dyDescent="0.25">
      <c r="F73" s="3"/>
    </row>
    <row r="74" spans="1:18" x14ac:dyDescent="0.25">
      <c r="F74" s="3"/>
    </row>
    <row r="75" spans="1:18" x14ac:dyDescent="0.25">
      <c r="F75" s="3"/>
    </row>
    <row r="76" spans="1:18" x14ac:dyDescent="0.25">
      <c r="F76" s="3"/>
    </row>
    <row r="77" spans="1:18" x14ac:dyDescent="0.25">
      <c r="F77" s="3"/>
    </row>
    <row r="78" spans="1:18" x14ac:dyDescent="0.25">
      <c r="F78" s="3"/>
    </row>
    <row r="79" spans="1:18" x14ac:dyDescent="0.25">
      <c r="F79" s="3"/>
    </row>
    <row r="80" spans="1:18" x14ac:dyDescent="0.25">
      <c r="F80" s="3"/>
    </row>
    <row r="81" spans="6:6" x14ac:dyDescent="0.25">
      <c r="F81" s="3"/>
    </row>
    <row r="82" spans="6:6" x14ac:dyDescent="0.25">
      <c r="F82" s="3"/>
    </row>
    <row r="83" spans="6:6" x14ac:dyDescent="0.25">
      <c r="F83" s="3"/>
    </row>
    <row r="84" spans="6:6" x14ac:dyDescent="0.25">
      <c r="F84" s="3"/>
    </row>
    <row r="85" spans="6:6" x14ac:dyDescent="0.25">
      <c r="F85" s="3"/>
    </row>
    <row r="86" spans="6:6" x14ac:dyDescent="0.25">
      <c r="F86" s="3"/>
    </row>
    <row r="87" spans="6:6" x14ac:dyDescent="0.25">
      <c r="F87" s="3"/>
    </row>
    <row r="88" spans="6:6" x14ac:dyDescent="0.25">
      <c r="F88" s="3"/>
    </row>
    <row r="89" spans="6:6" x14ac:dyDescent="0.25">
      <c r="F89" s="3"/>
    </row>
    <row r="90" spans="6:6" x14ac:dyDescent="0.25">
      <c r="F90" s="3"/>
    </row>
    <row r="91" spans="6:6" x14ac:dyDescent="0.25">
      <c r="F91" s="3"/>
    </row>
    <row r="92" spans="6:6" x14ac:dyDescent="0.25">
      <c r="F92" s="3"/>
    </row>
    <row r="93" spans="6:6" x14ac:dyDescent="0.25">
      <c r="F93" s="3"/>
    </row>
    <row r="94" spans="6:6" x14ac:dyDescent="0.25">
      <c r="F94" s="3"/>
    </row>
    <row r="95" spans="6:6" x14ac:dyDescent="0.25">
      <c r="F95" s="3"/>
    </row>
    <row r="96" spans="6:6" x14ac:dyDescent="0.25">
      <c r="F96" s="3"/>
    </row>
    <row r="97" spans="6:6" x14ac:dyDescent="0.25">
      <c r="F97" s="3"/>
    </row>
    <row r="98" spans="6:6" x14ac:dyDescent="0.25">
      <c r="F98" s="3"/>
    </row>
    <row r="99" spans="6:6" x14ac:dyDescent="0.25">
      <c r="F99" s="3"/>
    </row>
    <row r="100" spans="6:6" x14ac:dyDescent="0.25">
      <c r="F100" s="3"/>
    </row>
    <row r="101" spans="6:6" x14ac:dyDescent="0.25">
      <c r="F101" s="3"/>
    </row>
    <row r="129" spans="14:15" x14ac:dyDescent="0.25">
      <c r="O129">
        <v>354</v>
      </c>
    </row>
    <row r="131" spans="14:15" x14ac:dyDescent="0.25">
      <c r="N131">
        <v>393</v>
      </c>
      <c r="O131">
        <f>N131-O$129</f>
        <v>39</v>
      </c>
    </row>
    <row r="132" spans="14:15" x14ac:dyDescent="0.25">
      <c r="N132">
        <v>464</v>
      </c>
      <c r="O132">
        <f t="shared" ref="O132:O136" si="27">N132-O$129</f>
        <v>110</v>
      </c>
    </row>
    <row r="133" spans="14:15" x14ac:dyDescent="0.25">
      <c r="N133">
        <v>475</v>
      </c>
      <c r="O133">
        <f t="shared" si="27"/>
        <v>121</v>
      </c>
    </row>
    <row r="134" spans="14:15" x14ac:dyDescent="0.25">
      <c r="N134">
        <v>496</v>
      </c>
      <c r="O134">
        <f t="shared" si="27"/>
        <v>142</v>
      </c>
    </row>
    <row r="135" spans="14:15" x14ac:dyDescent="0.25">
      <c r="N135">
        <v>499</v>
      </c>
      <c r="O135">
        <f t="shared" si="27"/>
        <v>145</v>
      </c>
    </row>
    <row r="136" spans="14:15" x14ac:dyDescent="0.25">
      <c r="N136">
        <v>528</v>
      </c>
      <c r="O136">
        <f t="shared" si="27"/>
        <v>174</v>
      </c>
    </row>
  </sheetData>
  <conditionalFormatting sqref="O2:O49">
    <cfRule type="colorScale" priority="1">
      <colorScale>
        <cfvo type="min"/>
        <cfvo type="num" val="0"/>
        <color theme="9"/>
        <color rgb="FFFFEF9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7A13-B6F3-41AA-977C-F146B55B1673}">
  <dimension ref="A1:P59"/>
  <sheetViews>
    <sheetView workbookViewId="0">
      <selection activeCell="P3" sqref="P3"/>
    </sheetView>
  </sheetViews>
  <sheetFormatPr defaultRowHeight="15" x14ac:dyDescent="0.25"/>
  <cols>
    <col min="1" max="1" width="89.28515625" customWidth="1"/>
    <col min="2" max="4" width="11.42578125" bestFit="1" customWidth="1"/>
    <col min="8" max="8" width="9" customWidth="1"/>
    <col min="9" max="9" width="10.85546875" customWidth="1"/>
  </cols>
  <sheetData>
    <row r="1" spans="1:16" ht="15.75" thickBot="1" x14ac:dyDescent="0.3">
      <c r="A1" t="s">
        <v>0</v>
      </c>
      <c r="B1" t="s">
        <v>1</v>
      </c>
      <c r="C1" t="s">
        <v>2</v>
      </c>
      <c r="D1" t="s">
        <v>3</v>
      </c>
      <c r="F1" s="1" t="s">
        <v>55</v>
      </c>
      <c r="G1" s="1" t="s">
        <v>67</v>
      </c>
      <c r="H1" s="1"/>
      <c r="I1" s="1" t="s">
        <v>66</v>
      </c>
      <c r="J1" s="1" t="s">
        <v>68</v>
      </c>
      <c r="L1" s="1" t="s">
        <v>70</v>
      </c>
      <c r="N1" s="1" t="s">
        <v>82</v>
      </c>
      <c r="O1" s="1" t="s">
        <v>80</v>
      </c>
      <c r="P1" s="1" t="s">
        <v>81</v>
      </c>
    </row>
    <row r="2" spans="1:16" x14ac:dyDescent="0.25">
      <c r="A2" s="4" t="s">
        <v>4</v>
      </c>
      <c r="B2" s="6">
        <v>109.5</v>
      </c>
      <c r="C2" s="6">
        <v>212</v>
      </c>
      <c r="D2" s="6">
        <v>58</v>
      </c>
      <c r="E2" s="6"/>
      <c r="F2" s="6">
        <f>results_unroll_2__4[[#This Row],[cycles]]-CEILING(results_unroll_2__4[[#This Row],[insts]]/2,1)</f>
        <v>3.5</v>
      </c>
      <c r="G2" s="6">
        <f>MIN(F2:F13)</f>
        <v>2.5</v>
      </c>
      <c r="H2" s="6"/>
      <c r="I2" s="19">
        <v>3</v>
      </c>
      <c r="J2" s="20">
        <f>F2-I2</f>
        <v>0.5</v>
      </c>
      <c r="L2" s="2">
        <f>AVERAGE(F2:F13)</f>
        <v>8.0833333333333339</v>
      </c>
      <c r="N2">
        <f>ABS(J2)</f>
        <v>0.5</v>
      </c>
      <c r="O2">
        <f>AVERAGE(N2:N49)</f>
        <v>5.416666666666667</v>
      </c>
      <c r="P2">
        <f>MAX(N2:N49)</f>
        <v>20</v>
      </c>
    </row>
    <row r="3" spans="1:16" x14ac:dyDescent="0.25">
      <c r="A3" s="9" t="s">
        <v>5</v>
      </c>
      <c r="B3">
        <v>115.5</v>
      </c>
      <c r="C3">
        <v>212</v>
      </c>
      <c r="D3">
        <v>58</v>
      </c>
      <c r="F3">
        <f>results_unroll_2__4[[#This Row],[cycles]]-CEILING(results_unroll_2__4[[#This Row],[insts]]/2,1)</f>
        <v>9.5</v>
      </c>
      <c r="I3" s="21">
        <v>3</v>
      </c>
      <c r="J3" s="22">
        <f t="shared" ref="J3:J49" si="0">F3-I3</f>
        <v>6.5</v>
      </c>
      <c r="L3" s="2"/>
      <c r="N3">
        <f t="shared" ref="N3:N49" si="1">ABS(J3)</f>
        <v>6.5</v>
      </c>
    </row>
    <row r="4" spans="1:16" x14ac:dyDescent="0.25">
      <c r="A4" s="9" t="s">
        <v>6</v>
      </c>
      <c r="B4">
        <v>108.5</v>
      </c>
      <c r="C4">
        <v>212</v>
      </c>
      <c r="D4">
        <v>58</v>
      </c>
      <c r="F4" s="23">
        <f>results_unroll_2__4[[#This Row],[cycles]]-CEILING(results_unroll_2__4[[#This Row],[insts]]/2,1)</f>
        <v>2.5</v>
      </c>
      <c r="G4" s="23"/>
      <c r="H4" s="23"/>
      <c r="I4" s="24">
        <v>2</v>
      </c>
      <c r="J4" s="25">
        <f t="shared" si="0"/>
        <v>0.5</v>
      </c>
      <c r="L4" s="2"/>
      <c r="N4">
        <f t="shared" si="1"/>
        <v>0.5</v>
      </c>
    </row>
    <row r="5" spans="1:16" x14ac:dyDescent="0.25">
      <c r="A5" s="9" t="s">
        <v>7</v>
      </c>
      <c r="B5">
        <v>124.5</v>
      </c>
      <c r="C5">
        <v>212</v>
      </c>
      <c r="D5">
        <v>58</v>
      </c>
      <c r="F5">
        <f>results_unroll_2__4[[#This Row],[cycles]]-CEILING(results_unroll_2__4[[#This Row],[insts]]/2,1)</f>
        <v>18.5</v>
      </c>
      <c r="I5" s="21">
        <v>9</v>
      </c>
      <c r="J5" s="22">
        <f t="shared" si="0"/>
        <v>9.5</v>
      </c>
      <c r="L5" s="2"/>
      <c r="N5">
        <f t="shared" si="1"/>
        <v>9.5</v>
      </c>
    </row>
    <row r="6" spans="1:16" x14ac:dyDescent="0.25">
      <c r="A6" s="9" t="s">
        <v>8</v>
      </c>
      <c r="B6">
        <v>110</v>
      </c>
      <c r="C6">
        <v>212</v>
      </c>
      <c r="D6">
        <v>58</v>
      </c>
      <c r="F6">
        <f>results_unroll_2__4[[#This Row],[cycles]]-CEILING(results_unroll_2__4[[#This Row],[insts]]/2,1)</f>
        <v>4</v>
      </c>
      <c r="I6" s="21">
        <v>4</v>
      </c>
      <c r="J6" s="22">
        <f t="shared" si="0"/>
        <v>0</v>
      </c>
      <c r="L6" s="2"/>
      <c r="N6">
        <f t="shared" si="1"/>
        <v>0</v>
      </c>
    </row>
    <row r="7" spans="1:16" x14ac:dyDescent="0.25">
      <c r="A7" s="9" t="s">
        <v>9</v>
      </c>
      <c r="B7">
        <v>124</v>
      </c>
      <c r="C7">
        <v>212</v>
      </c>
      <c r="D7">
        <v>58</v>
      </c>
      <c r="F7">
        <f>results_unroll_2__4[[#This Row],[cycles]]-CEILING(results_unroll_2__4[[#This Row],[insts]]/2,1)</f>
        <v>18</v>
      </c>
      <c r="I7" s="21">
        <v>4</v>
      </c>
      <c r="J7" s="22">
        <f t="shared" si="0"/>
        <v>14</v>
      </c>
      <c r="L7" s="2"/>
      <c r="N7">
        <f t="shared" si="1"/>
        <v>14</v>
      </c>
    </row>
    <row r="8" spans="1:16" x14ac:dyDescent="0.25">
      <c r="A8" s="9" t="s">
        <v>10</v>
      </c>
      <c r="B8">
        <v>110</v>
      </c>
      <c r="C8">
        <v>212</v>
      </c>
      <c r="D8">
        <v>58</v>
      </c>
      <c r="F8">
        <f>results_unroll_2__4[[#This Row],[cycles]]-CEILING(results_unroll_2__4[[#This Row],[insts]]/2,1)</f>
        <v>4</v>
      </c>
      <c r="I8" s="21">
        <v>5</v>
      </c>
      <c r="J8" s="22">
        <f t="shared" si="0"/>
        <v>-1</v>
      </c>
      <c r="L8" s="2"/>
      <c r="N8">
        <f t="shared" si="1"/>
        <v>1</v>
      </c>
    </row>
    <row r="9" spans="1:16" x14ac:dyDescent="0.25">
      <c r="A9" s="9" t="s">
        <v>11</v>
      </c>
      <c r="B9">
        <v>126</v>
      </c>
      <c r="C9">
        <v>212</v>
      </c>
      <c r="D9">
        <v>58</v>
      </c>
      <c r="F9">
        <f>results_unroll_2__4[[#This Row],[cycles]]-CEILING(results_unroll_2__4[[#This Row],[insts]]/2,1)</f>
        <v>20</v>
      </c>
      <c r="I9" s="21">
        <v>6</v>
      </c>
      <c r="J9" s="22">
        <f t="shared" si="0"/>
        <v>14</v>
      </c>
      <c r="L9" s="2"/>
      <c r="N9">
        <f t="shared" si="1"/>
        <v>14</v>
      </c>
    </row>
    <row r="10" spans="1:16" x14ac:dyDescent="0.25">
      <c r="A10" s="9" t="s">
        <v>12</v>
      </c>
      <c r="B10">
        <v>111</v>
      </c>
      <c r="C10">
        <v>212</v>
      </c>
      <c r="D10">
        <v>58</v>
      </c>
      <c r="F10">
        <f>results_unroll_2__4[[#This Row],[cycles]]-CEILING(results_unroll_2__4[[#This Row],[insts]]/2,1)</f>
        <v>5</v>
      </c>
      <c r="I10" s="21">
        <v>6</v>
      </c>
      <c r="J10" s="22">
        <f t="shared" si="0"/>
        <v>-1</v>
      </c>
      <c r="L10" s="2"/>
      <c r="N10">
        <f t="shared" si="1"/>
        <v>1</v>
      </c>
    </row>
    <row r="11" spans="1:16" x14ac:dyDescent="0.25">
      <c r="A11" s="9" t="s">
        <v>13</v>
      </c>
      <c r="B11">
        <v>110</v>
      </c>
      <c r="C11">
        <v>212</v>
      </c>
      <c r="D11">
        <v>58</v>
      </c>
      <c r="F11">
        <f>results_unroll_2__4[[#This Row],[cycles]]-CEILING(results_unroll_2__4[[#This Row],[insts]]/2,1)</f>
        <v>4</v>
      </c>
      <c r="I11" s="21">
        <v>4</v>
      </c>
      <c r="J11" s="22">
        <f t="shared" si="0"/>
        <v>0</v>
      </c>
      <c r="L11" s="2"/>
      <c r="N11">
        <f t="shared" si="1"/>
        <v>0</v>
      </c>
    </row>
    <row r="12" spans="1:16" x14ac:dyDescent="0.25">
      <c r="A12" s="9" t="s">
        <v>14</v>
      </c>
      <c r="B12">
        <v>109</v>
      </c>
      <c r="C12">
        <v>212</v>
      </c>
      <c r="D12">
        <v>58</v>
      </c>
      <c r="F12">
        <f>results_unroll_2__4[[#This Row],[cycles]]-CEILING(results_unroll_2__4[[#This Row],[insts]]/2,1)</f>
        <v>3</v>
      </c>
      <c r="I12" s="21">
        <v>4</v>
      </c>
      <c r="J12" s="22">
        <f t="shared" si="0"/>
        <v>-1</v>
      </c>
      <c r="L12" s="2"/>
      <c r="N12">
        <f t="shared" si="1"/>
        <v>1</v>
      </c>
    </row>
    <row r="13" spans="1:16" ht="15.75" thickBot="1" x14ac:dyDescent="0.3">
      <c r="A13" s="11" t="s">
        <v>15</v>
      </c>
      <c r="B13" s="13">
        <v>111</v>
      </c>
      <c r="C13" s="13">
        <v>212</v>
      </c>
      <c r="D13" s="13">
        <v>58</v>
      </c>
      <c r="E13" s="13"/>
      <c r="F13" s="13">
        <f>results_unroll_2__4[[#This Row],[cycles]]-CEILING(results_unroll_2__4[[#This Row],[insts]]/2,1)</f>
        <v>5</v>
      </c>
      <c r="G13" s="13"/>
      <c r="H13" s="13"/>
      <c r="I13" s="26">
        <v>6</v>
      </c>
      <c r="J13" s="27">
        <f t="shared" si="0"/>
        <v>-1</v>
      </c>
      <c r="L13" s="2"/>
      <c r="N13">
        <f t="shared" si="1"/>
        <v>1</v>
      </c>
    </row>
    <row r="14" spans="1:16" x14ac:dyDescent="0.25">
      <c r="A14" s="4" t="s">
        <v>16</v>
      </c>
      <c r="B14" s="6">
        <v>116.5</v>
      </c>
      <c r="C14" s="6">
        <v>199</v>
      </c>
      <c r="D14" s="6">
        <v>58</v>
      </c>
      <c r="E14" s="6"/>
      <c r="F14" s="6">
        <f>results_unroll_2__4[[#This Row],[cycles]]-CEILING(results_unroll_2__4[[#This Row],[insts]]/2,1)</f>
        <v>16.5</v>
      </c>
      <c r="G14" s="6">
        <f t="shared" ref="G14:G38" si="2">MIN(F14:F25)</f>
        <v>1</v>
      </c>
      <c r="H14" s="6"/>
      <c r="I14" s="19">
        <v>5</v>
      </c>
      <c r="J14" s="20">
        <f t="shared" si="0"/>
        <v>11.5</v>
      </c>
      <c r="L14" s="2">
        <f>AVERAGE(F14:F25)</f>
        <v>10.083333333333334</v>
      </c>
      <c r="N14">
        <f t="shared" si="1"/>
        <v>11.5</v>
      </c>
    </row>
    <row r="15" spans="1:16" x14ac:dyDescent="0.25">
      <c r="A15" s="9" t="s">
        <v>17</v>
      </c>
      <c r="B15">
        <v>101</v>
      </c>
      <c r="C15">
        <v>199</v>
      </c>
      <c r="D15">
        <v>58</v>
      </c>
      <c r="F15" s="23">
        <f>results_unroll_2__4[[#This Row],[cycles]]-CEILING(results_unroll_2__4[[#This Row],[insts]]/2,1)</f>
        <v>1</v>
      </c>
      <c r="G15" s="23"/>
      <c r="H15" s="23"/>
      <c r="I15" s="24">
        <v>3</v>
      </c>
      <c r="J15" s="25">
        <f t="shared" si="0"/>
        <v>-2</v>
      </c>
      <c r="L15" s="2"/>
      <c r="N15">
        <f t="shared" si="1"/>
        <v>2</v>
      </c>
    </row>
    <row r="16" spans="1:16" x14ac:dyDescent="0.25">
      <c r="A16" s="9" t="s">
        <v>18</v>
      </c>
      <c r="B16">
        <v>122</v>
      </c>
      <c r="C16">
        <v>199</v>
      </c>
      <c r="D16">
        <v>58</v>
      </c>
      <c r="F16">
        <f>results_unroll_2__4[[#This Row],[cycles]]-CEILING(results_unroll_2__4[[#This Row],[insts]]/2,1)</f>
        <v>22</v>
      </c>
      <c r="I16" s="21">
        <v>2</v>
      </c>
      <c r="J16" s="22">
        <f t="shared" si="0"/>
        <v>20</v>
      </c>
      <c r="L16" s="2"/>
      <c r="N16">
        <f t="shared" si="1"/>
        <v>20</v>
      </c>
    </row>
    <row r="17" spans="1:14" x14ac:dyDescent="0.25">
      <c r="A17" s="9" t="s">
        <v>19</v>
      </c>
      <c r="B17">
        <v>112.5</v>
      </c>
      <c r="C17">
        <v>199</v>
      </c>
      <c r="D17">
        <v>58</v>
      </c>
      <c r="F17">
        <f>results_unroll_2__4[[#This Row],[cycles]]-CEILING(results_unroll_2__4[[#This Row],[insts]]/2,1)</f>
        <v>12.5</v>
      </c>
      <c r="I17" s="21">
        <v>6</v>
      </c>
      <c r="J17" s="22">
        <f t="shared" si="0"/>
        <v>6.5</v>
      </c>
      <c r="L17" s="2"/>
      <c r="N17">
        <f t="shared" si="1"/>
        <v>6.5</v>
      </c>
    </row>
    <row r="18" spans="1:14" x14ac:dyDescent="0.25">
      <c r="A18" s="9" t="s">
        <v>20</v>
      </c>
      <c r="B18">
        <v>111.5</v>
      </c>
      <c r="C18">
        <v>199</v>
      </c>
      <c r="D18">
        <v>58</v>
      </c>
      <c r="F18">
        <f>results_unroll_2__4[[#This Row],[cycles]]-CEILING(results_unroll_2__4[[#This Row],[insts]]/2,1)</f>
        <v>11.5</v>
      </c>
      <c r="I18" s="21">
        <v>5</v>
      </c>
      <c r="J18" s="22">
        <f t="shared" si="0"/>
        <v>6.5</v>
      </c>
      <c r="L18" s="2"/>
      <c r="N18">
        <f t="shared" si="1"/>
        <v>6.5</v>
      </c>
    </row>
    <row r="19" spans="1:14" x14ac:dyDescent="0.25">
      <c r="A19" s="9" t="s">
        <v>21</v>
      </c>
      <c r="B19">
        <v>117</v>
      </c>
      <c r="C19">
        <v>199</v>
      </c>
      <c r="D19">
        <v>58</v>
      </c>
      <c r="F19">
        <f>results_unroll_2__4[[#This Row],[cycles]]-CEILING(results_unroll_2__4[[#This Row],[insts]]/2,1)</f>
        <v>17</v>
      </c>
      <c r="I19" s="21">
        <v>4</v>
      </c>
      <c r="J19" s="22">
        <f t="shared" si="0"/>
        <v>13</v>
      </c>
      <c r="L19" s="2"/>
      <c r="N19">
        <f t="shared" si="1"/>
        <v>13</v>
      </c>
    </row>
    <row r="20" spans="1:14" x14ac:dyDescent="0.25">
      <c r="A20" s="9" t="s">
        <v>22</v>
      </c>
      <c r="B20">
        <v>112</v>
      </c>
      <c r="C20">
        <v>199</v>
      </c>
      <c r="D20">
        <v>58</v>
      </c>
      <c r="F20">
        <f>results_unroll_2__4[[#This Row],[cycles]]-CEILING(results_unroll_2__4[[#This Row],[insts]]/2,1)</f>
        <v>12</v>
      </c>
      <c r="I20" s="21">
        <v>5</v>
      </c>
      <c r="J20" s="22">
        <f t="shared" si="0"/>
        <v>7</v>
      </c>
      <c r="L20" s="2"/>
      <c r="N20">
        <f t="shared" si="1"/>
        <v>7</v>
      </c>
    </row>
    <row r="21" spans="1:14" x14ac:dyDescent="0.25">
      <c r="A21" s="9" t="s">
        <v>23</v>
      </c>
      <c r="B21">
        <v>102</v>
      </c>
      <c r="C21">
        <v>199</v>
      </c>
      <c r="D21">
        <v>58</v>
      </c>
      <c r="F21">
        <f>results_unroll_2__4[[#This Row],[cycles]]-CEILING(results_unroll_2__4[[#This Row],[insts]]/2,1)</f>
        <v>2</v>
      </c>
      <c r="I21" s="21">
        <v>6</v>
      </c>
      <c r="J21" s="22">
        <f t="shared" si="0"/>
        <v>-4</v>
      </c>
      <c r="L21" s="2"/>
      <c r="N21">
        <f t="shared" si="1"/>
        <v>4</v>
      </c>
    </row>
    <row r="22" spans="1:14" x14ac:dyDescent="0.25">
      <c r="A22" s="9" t="s">
        <v>24</v>
      </c>
      <c r="B22">
        <v>108.5</v>
      </c>
      <c r="C22">
        <v>199</v>
      </c>
      <c r="D22">
        <v>58</v>
      </c>
      <c r="F22">
        <f>results_unroll_2__4[[#This Row],[cycles]]-CEILING(results_unroll_2__4[[#This Row],[insts]]/2,1)</f>
        <v>8.5</v>
      </c>
      <c r="I22" s="21">
        <v>4</v>
      </c>
      <c r="J22" s="22">
        <f t="shared" si="0"/>
        <v>4.5</v>
      </c>
      <c r="L22" s="2"/>
      <c r="N22">
        <f t="shared" si="1"/>
        <v>4.5</v>
      </c>
    </row>
    <row r="23" spans="1:14" x14ac:dyDescent="0.25">
      <c r="A23" s="9" t="s">
        <v>25</v>
      </c>
      <c r="B23">
        <v>105.5</v>
      </c>
      <c r="C23">
        <v>199</v>
      </c>
      <c r="D23">
        <v>58</v>
      </c>
      <c r="F23">
        <f>results_unroll_2__4[[#This Row],[cycles]]-CEILING(results_unroll_2__4[[#This Row],[insts]]/2,1)</f>
        <v>5.5</v>
      </c>
      <c r="I23" s="21">
        <v>7</v>
      </c>
      <c r="J23" s="22">
        <f t="shared" si="0"/>
        <v>-1.5</v>
      </c>
      <c r="L23" s="2"/>
      <c r="N23">
        <f t="shared" si="1"/>
        <v>1.5</v>
      </c>
    </row>
    <row r="24" spans="1:14" x14ac:dyDescent="0.25">
      <c r="A24" s="9" t="s">
        <v>26</v>
      </c>
      <c r="B24">
        <v>109.5</v>
      </c>
      <c r="C24">
        <v>199</v>
      </c>
      <c r="D24">
        <v>58</v>
      </c>
      <c r="F24">
        <f>results_unroll_2__4[[#This Row],[cycles]]-CEILING(results_unroll_2__4[[#This Row],[insts]]/2,1)</f>
        <v>9.5</v>
      </c>
      <c r="I24" s="21">
        <v>6</v>
      </c>
      <c r="J24" s="22">
        <f t="shared" si="0"/>
        <v>3.5</v>
      </c>
      <c r="L24" s="2"/>
      <c r="N24">
        <f t="shared" si="1"/>
        <v>3.5</v>
      </c>
    </row>
    <row r="25" spans="1:14" ht="15.75" thickBot="1" x14ac:dyDescent="0.3">
      <c r="A25" s="11" t="s">
        <v>27</v>
      </c>
      <c r="B25" s="13">
        <v>103</v>
      </c>
      <c r="C25" s="13">
        <v>199</v>
      </c>
      <c r="D25" s="13">
        <v>58</v>
      </c>
      <c r="E25" s="13"/>
      <c r="F25" s="13">
        <f>results_unroll_2__4[[#This Row],[cycles]]-CEILING(results_unroll_2__4[[#This Row],[insts]]/2,1)</f>
        <v>3</v>
      </c>
      <c r="G25" s="13"/>
      <c r="H25" s="13"/>
      <c r="I25" s="26">
        <v>5</v>
      </c>
      <c r="J25" s="27">
        <f t="shared" si="0"/>
        <v>-2</v>
      </c>
      <c r="L25" s="2"/>
      <c r="N25">
        <f t="shared" si="1"/>
        <v>2</v>
      </c>
    </row>
    <row r="26" spans="1:14" x14ac:dyDescent="0.25">
      <c r="A26" s="4" t="s">
        <v>28</v>
      </c>
      <c r="B26" s="6">
        <v>116.5</v>
      </c>
      <c r="C26" s="6">
        <v>212</v>
      </c>
      <c r="D26" s="6">
        <v>58</v>
      </c>
      <c r="E26" s="6"/>
      <c r="F26" s="6">
        <f>results_unroll_2__4[[#This Row],[cycles]]-CEILING(results_unroll_2__4[[#This Row],[insts]]/2,1)</f>
        <v>10.5</v>
      </c>
      <c r="G26" s="6">
        <f t="shared" si="2"/>
        <v>3</v>
      </c>
      <c r="H26" s="6"/>
      <c r="I26" s="19">
        <v>4</v>
      </c>
      <c r="J26" s="20">
        <f t="shared" si="0"/>
        <v>6.5</v>
      </c>
      <c r="L26" s="2">
        <f>AVERAGE(F26:F37)</f>
        <v>9.9583333333333339</v>
      </c>
      <c r="N26">
        <f t="shared" si="1"/>
        <v>6.5</v>
      </c>
    </row>
    <row r="27" spans="1:14" x14ac:dyDescent="0.25">
      <c r="A27" s="9" t="s">
        <v>29</v>
      </c>
      <c r="B27">
        <v>115</v>
      </c>
      <c r="C27">
        <v>212</v>
      </c>
      <c r="D27">
        <v>58</v>
      </c>
      <c r="F27">
        <f>results_unroll_2__4[[#This Row],[cycles]]-CEILING(results_unroll_2__4[[#This Row],[insts]]/2,1)</f>
        <v>9</v>
      </c>
      <c r="I27" s="21">
        <v>3</v>
      </c>
      <c r="J27" s="22">
        <f t="shared" si="0"/>
        <v>6</v>
      </c>
      <c r="L27" s="2"/>
      <c r="N27">
        <f t="shared" si="1"/>
        <v>6</v>
      </c>
    </row>
    <row r="28" spans="1:14" x14ac:dyDescent="0.25">
      <c r="A28" s="9" t="s">
        <v>30</v>
      </c>
      <c r="B28">
        <v>122.5</v>
      </c>
      <c r="C28">
        <v>212</v>
      </c>
      <c r="D28">
        <v>58</v>
      </c>
      <c r="F28">
        <f>results_unroll_2__4[[#This Row],[cycles]]-CEILING(results_unroll_2__4[[#This Row],[insts]]/2,1)</f>
        <v>16.5</v>
      </c>
      <c r="I28" s="21">
        <v>4</v>
      </c>
      <c r="J28" s="22">
        <f t="shared" si="0"/>
        <v>12.5</v>
      </c>
      <c r="L28" s="2"/>
      <c r="N28">
        <f t="shared" si="1"/>
        <v>12.5</v>
      </c>
    </row>
    <row r="29" spans="1:14" x14ac:dyDescent="0.25">
      <c r="A29" s="9" t="s">
        <v>31</v>
      </c>
      <c r="B29">
        <v>119</v>
      </c>
      <c r="C29">
        <v>212</v>
      </c>
      <c r="D29">
        <v>58</v>
      </c>
      <c r="F29">
        <f>results_unroll_2__4[[#This Row],[cycles]]-CEILING(results_unroll_2__4[[#This Row],[insts]]/2,1)</f>
        <v>13</v>
      </c>
      <c r="I29" s="21">
        <v>10</v>
      </c>
      <c r="J29" s="22">
        <f t="shared" si="0"/>
        <v>3</v>
      </c>
      <c r="L29" s="2"/>
      <c r="N29">
        <f t="shared" si="1"/>
        <v>3</v>
      </c>
    </row>
    <row r="30" spans="1:14" x14ac:dyDescent="0.25">
      <c r="A30" s="9" t="s">
        <v>32</v>
      </c>
      <c r="B30">
        <v>124.5</v>
      </c>
      <c r="C30">
        <v>212</v>
      </c>
      <c r="D30">
        <v>58</v>
      </c>
      <c r="F30">
        <f>results_unroll_2__4[[#This Row],[cycles]]-CEILING(results_unroll_2__4[[#This Row],[insts]]/2,1)</f>
        <v>18.5</v>
      </c>
      <c r="I30" s="21">
        <v>5</v>
      </c>
      <c r="J30" s="22">
        <f t="shared" si="0"/>
        <v>13.5</v>
      </c>
      <c r="L30" s="2"/>
      <c r="N30">
        <f t="shared" si="1"/>
        <v>13.5</v>
      </c>
    </row>
    <row r="31" spans="1:14" x14ac:dyDescent="0.25">
      <c r="A31" s="9" t="s">
        <v>33</v>
      </c>
      <c r="B31">
        <v>110</v>
      </c>
      <c r="C31">
        <v>212</v>
      </c>
      <c r="D31">
        <v>58</v>
      </c>
      <c r="F31">
        <f>results_unroll_2__4[[#This Row],[cycles]]-CEILING(results_unroll_2__4[[#This Row],[insts]]/2,1)</f>
        <v>4</v>
      </c>
      <c r="I31" s="21">
        <v>4</v>
      </c>
      <c r="J31" s="22">
        <f t="shared" si="0"/>
        <v>0</v>
      </c>
      <c r="L31" s="2"/>
      <c r="N31">
        <f t="shared" si="1"/>
        <v>0</v>
      </c>
    </row>
    <row r="32" spans="1:14" x14ac:dyDescent="0.25">
      <c r="A32" s="9" t="s">
        <v>34</v>
      </c>
      <c r="B32">
        <v>118.5</v>
      </c>
      <c r="C32">
        <v>212</v>
      </c>
      <c r="D32">
        <v>58</v>
      </c>
      <c r="F32">
        <f>results_unroll_2__4[[#This Row],[cycles]]-CEILING(results_unroll_2__4[[#This Row],[insts]]/2,1)</f>
        <v>12.5</v>
      </c>
      <c r="I32" s="21">
        <v>5</v>
      </c>
      <c r="J32" s="22">
        <f t="shared" si="0"/>
        <v>7.5</v>
      </c>
      <c r="L32" s="2"/>
      <c r="N32">
        <f t="shared" si="1"/>
        <v>7.5</v>
      </c>
    </row>
    <row r="33" spans="1:14" x14ac:dyDescent="0.25">
      <c r="A33" s="9" t="s">
        <v>35</v>
      </c>
      <c r="B33">
        <v>118</v>
      </c>
      <c r="C33">
        <v>212</v>
      </c>
      <c r="D33">
        <v>58</v>
      </c>
      <c r="F33">
        <f>results_unroll_2__4[[#This Row],[cycles]]-CEILING(results_unroll_2__4[[#This Row],[insts]]/2,1)</f>
        <v>12</v>
      </c>
      <c r="I33" s="21">
        <v>5</v>
      </c>
      <c r="J33" s="22">
        <f t="shared" si="0"/>
        <v>7</v>
      </c>
      <c r="L33" s="2"/>
      <c r="N33">
        <f t="shared" si="1"/>
        <v>7</v>
      </c>
    </row>
    <row r="34" spans="1:14" x14ac:dyDescent="0.25">
      <c r="A34" s="9" t="s">
        <v>36</v>
      </c>
      <c r="B34">
        <v>110.5</v>
      </c>
      <c r="C34">
        <v>212</v>
      </c>
      <c r="D34">
        <v>58</v>
      </c>
      <c r="F34">
        <f>results_unroll_2__4[[#This Row],[cycles]]-CEILING(results_unroll_2__4[[#This Row],[insts]]/2,1)</f>
        <v>4.5</v>
      </c>
      <c r="I34" s="21">
        <v>4</v>
      </c>
      <c r="J34" s="22">
        <f t="shared" si="0"/>
        <v>0.5</v>
      </c>
      <c r="L34" s="2"/>
      <c r="N34">
        <f t="shared" si="1"/>
        <v>0.5</v>
      </c>
    </row>
    <row r="35" spans="1:14" x14ac:dyDescent="0.25">
      <c r="A35" s="9" t="s">
        <v>37</v>
      </c>
      <c r="B35">
        <v>111</v>
      </c>
      <c r="C35">
        <v>212</v>
      </c>
      <c r="D35">
        <v>58</v>
      </c>
      <c r="F35">
        <f>results_unroll_2__4[[#This Row],[cycles]]-CEILING(results_unroll_2__4[[#This Row],[insts]]/2,1)</f>
        <v>5</v>
      </c>
      <c r="I35" s="21">
        <v>6</v>
      </c>
      <c r="J35" s="22">
        <f t="shared" si="0"/>
        <v>-1</v>
      </c>
      <c r="L35" s="2"/>
      <c r="N35">
        <f t="shared" si="1"/>
        <v>1</v>
      </c>
    </row>
    <row r="36" spans="1:14" x14ac:dyDescent="0.25">
      <c r="A36" s="9" t="s">
        <v>38</v>
      </c>
      <c r="B36">
        <v>117</v>
      </c>
      <c r="C36">
        <v>212</v>
      </c>
      <c r="D36">
        <v>58</v>
      </c>
      <c r="F36">
        <f>results_unroll_2__4[[#This Row],[cycles]]-CEILING(results_unroll_2__4[[#This Row],[insts]]/2,1)</f>
        <v>11</v>
      </c>
      <c r="I36" s="21">
        <v>5</v>
      </c>
      <c r="J36" s="22">
        <f t="shared" si="0"/>
        <v>6</v>
      </c>
      <c r="L36" s="2"/>
      <c r="N36">
        <f t="shared" si="1"/>
        <v>6</v>
      </c>
    </row>
    <row r="37" spans="1:14" ht="15.75" thickBot="1" x14ac:dyDescent="0.3">
      <c r="A37" s="11" t="s">
        <v>39</v>
      </c>
      <c r="B37" s="13">
        <v>109</v>
      </c>
      <c r="C37" s="13">
        <v>212</v>
      </c>
      <c r="D37" s="13">
        <v>58</v>
      </c>
      <c r="E37" s="13"/>
      <c r="F37" s="28">
        <f>results_unroll_2__4[[#This Row],[cycles]]-CEILING(results_unroll_2__4[[#This Row],[insts]]/2,1)</f>
        <v>3</v>
      </c>
      <c r="G37" s="28"/>
      <c r="H37" s="28"/>
      <c r="I37" s="29">
        <v>5</v>
      </c>
      <c r="J37" s="30">
        <f t="shared" si="0"/>
        <v>-2</v>
      </c>
      <c r="L37" s="2"/>
      <c r="N37">
        <f t="shared" si="1"/>
        <v>2</v>
      </c>
    </row>
    <row r="38" spans="1:14" x14ac:dyDescent="0.25">
      <c r="A38" s="4" t="s">
        <v>40</v>
      </c>
      <c r="B38" s="6">
        <v>103</v>
      </c>
      <c r="C38" s="6">
        <v>199</v>
      </c>
      <c r="D38" s="6">
        <v>58</v>
      </c>
      <c r="E38" s="6"/>
      <c r="F38" s="6">
        <f>results_unroll_2__4[[#This Row],[cycles]]-CEILING(results_unroll_2__4[[#This Row],[insts]]/2,1)</f>
        <v>3</v>
      </c>
      <c r="G38" s="6">
        <f t="shared" si="2"/>
        <v>1</v>
      </c>
      <c r="H38" s="6"/>
      <c r="I38" s="19">
        <v>5</v>
      </c>
      <c r="J38" s="20">
        <f t="shared" si="0"/>
        <v>-2</v>
      </c>
      <c r="L38" s="2">
        <f>AVERAGE(F38:F49)</f>
        <v>8.5416666666666661</v>
      </c>
      <c r="N38">
        <f t="shared" si="1"/>
        <v>2</v>
      </c>
    </row>
    <row r="39" spans="1:14" x14ac:dyDescent="0.25">
      <c r="A39" s="9" t="s">
        <v>41</v>
      </c>
      <c r="B39">
        <v>101</v>
      </c>
      <c r="C39">
        <v>199</v>
      </c>
      <c r="D39">
        <v>58</v>
      </c>
      <c r="F39" s="23">
        <f>results_unroll_2__4[[#This Row],[cycles]]-CEILING(results_unroll_2__4[[#This Row],[insts]]/2,1)</f>
        <v>1</v>
      </c>
      <c r="G39" s="23"/>
      <c r="H39" s="23"/>
      <c r="I39" s="24">
        <v>3</v>
      </c>
      <c r="J39" s="25">
        <f t="shared" si="0"/>
        <v>-2</v>
      </c>
      <c r="L39" s="2"/>
      <c r="N39">
        <f t="shared" si="1"/>
        <v>2</v>
      </c>
    </row>
    <row r="40" spans="1:14" x14ac:dyDescent="0.25">
      <c r="A40" s="9" t="s">
        <v>42</v>
      </c>
      <c r="B40">
        <v>110</v>
      </c>
      <c r="C40">
        <v>199</v>
      </c>
      <c r="D40">
        <v>58</v>
      </c>
      <c r="F40" s="31">
        <f>results_unroll_2__4[[#This Row],[cycles]]-CEILING(results_unroll_2__4[[#This Row],[insts]]/2,1)</f>
        <v>10</v>
      </c>
      <c r="I40" s="21">
        <v>4</v>
      </c>
      <c r="J40" s="22">
        <f t="shared" si="0"/>
        <v>6</v>
      </c>
      <c r="L40" s="2"/>
      <c r="N40">
        <f t="shared" si="1"/>
        <v>6</v>
      </c>
    </row>
    <row r="41" spans="1:14" x14ac:dyDescent="0.25">
      <c r="A41" s="9" t="s">
        <v>43</v>
      </c>
      <c r="B41">
        <v>117.5</v>
      </c>
      <c r="C41">
        <v>199</v>
      </c>
      <c r="D41">
        <v>58</v>
      </c>
      <c r="F41">
        <f>results_unroll_2__4[[#This Row],[cycles]]-CEILING(results_unroll_2__4[[#This Row],[insts]]/2,1)</f>
        <v>17.5</v>
      </c>
      <c r="I41" s="21">
        <v>6</v>
      </c>
      <c r="J41" s="22">
        <f t="shared" si="0"/>
        <v>11.5</v>
      </c>
      <c r="L41" s="2"/>
      <c r="N41">
        <f t="shared" si="1"/>
        <v>11.5</v>
      </c>
    </row>
    <row r="42" spans="1:14" x14ac:dyDescent="0.25">
      <c r="A42" s="9" t="s">
        <v>44</v>
      </c>
      <c r="B42">
        <v>108</v>
      </c>
      <c r="C42">
        <v>199</v>
      </c>
      <c r="D42">
        <v>58</v>
      </c>
      <c r="F42">
        <f>results_unroll_2__4[[#This Row],[cycles]]-CEILING(results_unroll_2__4[[#This Row],[insts]]/2,1)</f>
        <v>8</v>
      </c>
      <c r="I42" s="21">
        <v>3</v>
      </c>
      <c r="J42" s="22">
        <f t="shared" si="0"/>
        <v>5</v>
      </c>
      <c r="L42" s="2"/>
      <c r="N42">
        <f t="shared" si="1"/>
        <v>5</v>
      </c>
    </row>
    <row r="43" spans="1:14" x14ac:dyDescent="0.25">
      <c r="A43" s="9" t="s">
        <v>45</v>
      </c>
      <c r="B43">
        <v>108.5</v>
      </c>
      <c r="C43">
        <v>199</v>
      </c>
      <c r="D43">
        <v>58</v>
      </c>
      <c r="F43">
        <f>results_unroll_2__4[[#This Row],[cycles]]-CEILING(results_unroll_2__4[[#This Row],[insts]]/2,1)</f>
        <v>8.5</v>
      </c>
      <c r="I43" s="21">
        <v>5</v>
      </c>
      <c r="J43" s="22">
        <f t="shared" si="0"/>
        <v>3.5</v>
      </c>
      <c r="L43" s="2"/>
      <c r="N43">
        <f t="shared" si="1"/>
        <v>3.5</v>
      </c>
    </row>
    <row r="44" spans="1:14" x14ac:dyDescent="0.25">
      <c r="A44" s="9" t="s">
        <v>46</v>
      </c>
      <c r="B44">
        <v>103</v>
      </c>
      <c r="C44">
        <v>199</v>
      </c>
      <c r="D44">
        <v>58</v>
      </c>
      <c r="F44">
        <f>results_unroll_2__4[[#This Row],[cycles]]-CEILING(results_unroll_2__4[[#This Row],[insts]]/2,1)</f>
        <v>3</v>
      </c>
      <c r="I44" s="21">
        <v>6</v>
      </c>
      <c r="J44" s="22">
        <f t="shared" si="0"/>
        <v>-3</v>
      </c>
      <c r="L44" s="2"/>
      <c r="N44">
        <f t="shared" si="1"/>
        <v>3</v>
      </c>
    </row>
    <row r="45" spans="1:14" x14ac:dyDescent="0.25">
      <c r="A45" s="9" t="s">
        <v>47</v>
      </c>
      <c r="B45">
        <v>117</v>
      </c>
      <c r="C45">
        <v>199</v>
      </c>
      <c r="D45">
        <v>58</v>
      </c>
      <c r="F45">
        <f>results_unroll_2__4[[#This Row],[cycles]]-CEILING(results_unroll_2__4[[#This Row],[insts]]/2,1)</f>
        <v>17</v>
      </c>
      <c r="I45" s="21">
        <v>4</v>
      </c>
      <c r="J45" s="22">
        <f t="shared" si="0"/>
        <v>13</v>
      </c>
      <c r="L45" s="2"/>
      <c r="N45">
        <f t="shared" si="1"/>
        <v>13</v>
      </c>
    </row>
    <row r="46" spans="1:14" x14ac:dyDescent="0.25">
      <c r="A46" s="9" t="s">
        <v>48</v>
      </c>
      <c r="B46">
        <v>109.5</v>
      </c>
      <c r="C46">
        <v>199</v>
      </c>
      <c r="D46">
        <v>58</v>
      </c>
      <c r="F46">
        <f>results_unroll_2__4[[#This Row],[cycles]]-CEILING(results_unroll_2__4[[#This Row],[insts]]/2,1)</f>
        <v>9.5</v>
      </c>
      <c r="I46" s="21">
        <v>4</v>
      </c>
      <c r="J46" s="22">
        <f t="shared" si="0"/>
        <v>5.5</v>
      </c>
      <c r="L46" s="2"/>
      <c r="N46">
        <f t="shared" si="1"/>
        <v>5.5</v>
      </c>
    </row>
    <row r="47" spans="1:14" x14ac:dyDescent="0.25">
      <c r="A47" s="9" t="s">
        <v>49</v>
      </c>
      <c r="B47">
        <v>113.5</v>
      </c>
      <c r="C47">
        <v>199</v>
      </c>
      <c r="D47">
        <v>58</v>
      </c>
      <c r="F47">
        <f>results_unroll_2__4[[#This Row],[cycles]]-CEILING(results_unroll_2__4[[#This Row],[insts]]/2,1)</f>
        <v>13.5</v>
      </c>
      <c r="I47" s="21">
        <v>7</v>
      </c>
      <c r="J47" s="22">
        <f t="shared" si="0"/>
        <v>6.5</v>
      </c>
      <c r="L47" s="2"/>
      <c r="N47">
        <f t="shared" si="1"/>
        <v>6.5</v>
      </c>
    </row>
    <row r="48" spans="1:14" x14ac:dyDescent="0.25">
      <c r="A48" s="9" t="s">
        <v>50</v>
      </c>
      <c r="B48">
        <v>109</v>
      </c>
      <c r="C48">
        <v>199</v>
      </c>
      <c r="D48">
        <v>58</v>
      </c>
      <c r="F48">
        <f>results_unroll_2__4[[#This Row],[cycles]]-CEILING(results_unroll_2__4[[#This Row],[insts]]/2,1)</f>
        <v>9</v>
      </c>
      <c r="I48" s="21">
        <v>5</v>
      </c>
      <c r="J48" s="22">
        <f t="shared" si="0"/>
        <v>4</v>
      </c>
      <c r="L48" s="2"/>
      <c r="N48">
        <f t="shared" si="1"/>
        <v>4</v>
      </c>
    </row>
    <row r="49" spans="1:14" ht="15.75" thickBot="1" x14ac:dyDescent="0.3">
      <c r="A49" s="11" t="s">
        <v>51</v>
      </c>
      <c r="B49" s="13">
        <v>102.5</v>
      </c>
      <c r="C49" s="13">
        <v>199</v>
      </c>
      <c r="D49" s="13">
        <v>58</v>
      </c>
      <c r="E49" s="13"/>
      <c r="F49" s="13">
        <f>results_unroll_2__4[[#This Row],[cycles]]-CEILING(results_unroll_2__4[[#This Row],[insts]]/2,1)</f>
        <v>2.5</v>
      </c>
      <c r="G49" s="13"/>
      <c r="H49" s="13"/>
      <c r="I49" s="26">
        <v>4</v>
      </c>
      <c r="J49" s="27">
        <f t="shared" si="0"/>
        <v>-1.5</v>
      </c>
      <c r="L49" s="2"/>
      <c r="N49">
        <f t="shared" si="1"/>
        <v>1.5</v>
      </c>
    </row>
    <row r="56" spans="1:14" x14ac:dyDescent="0.25">
      <c r="A56" t="s">
        <v>56</v>
      </c>
      <c r="B56">
        <v>154</v>
      </c>
      <c r="C56">
        <v>212</v>
      </c>
      <c r="D56">
        <v>58</v>
      </c>
      <c r="F56">
        <f>results_unroll_2__4[[#This Row],[cycles]]-CEILING(results_unroll_2__4[[#This Row],[insts]]/2,1)</f>
        <v>48</v>
      </c>
    </row>
    <row r="57" spans="1:14" x14ac:dyDescent="0.25">
      <c r="A57" t="s">
        <v>57</v>
      </c>
      <c r="B57">
        <v>136</v>
      </c>
      <c r="C57">
        <v>186</v>
      </c>
      <c r="D57">
        <v>52</v>
      </c>
      <c r="F57">
        <f>results_unroll_2__4[[#This Row],[cycles]]-CEILING(results_unroll_2__4[[#This Row],[insts]]/2,1)</f>
        <v>43</v>
      </c>
    </row>
    <row r="58" spans="1:14" x14ac:dyDescent="0.25">
      <c r="A58" t="s">
        <v>58</v>
      </c>
      <c r="B58">
        <v>154</v>
      </c>
      <c r="C58">
        <v>212</v>
      </c>
      <c r="D58">
        <v>58</v>
      </c>
      <c r="F58">
        <f>results_unroll_2__4[[#This Row],[cycles]]-CEILING(results_unroll_2__4[[#This Row],[insts]]/2,1)</f>
        <v>48</v>
      </c>
    </row>
    <row r="59" spans="1:14" x14ac:dyDescent="0.25">
      <c r="A59" t="s">
        <v>59</v>
      </c>
      <c r="B59">
        <v>136</v>
      </c>
      <c r="C59">
        <v>186</v>
      </c>
      <c r="D59">
        <v>52</v>
      </c>
      <c r="F59">
        <f>results_unroll_2__4[[#This Row],[cycles]]-CEILING(results_unroll_2__4[[#This Row],[insts]]/2,1)</f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72E2-BCBD-452C-A034-5C164A394E90}">
  <dimension ref="A1:V58"/>
  <sheetViews>
    <sheetView tabSelected="1" topLeftCell="B6" workbookViewId="0">
      <selection activeCell="V37" sqref="V37"/>
    </sheetView>
  </sheetViews>
  <sheetFormatPr defaultRowHeight="15" x14ac:dyDescent="0.25"/>
  <cols>
    <col min="1" max="1" width="86.7109375" customWidth="1"/>
    <col min="2" max="2" width="9" bestFit="1" customWidth="1"/>
    <col min="3" max="3" width="7.7109375" bestFit="1" customWidth="1"/>
    <col min="9" max="9" width="10.140625" customWidth="1"/>
    <col min="13" max="13" width="16" customWidth="1"/>
    <col min="14" max="14" width="9.85546875" customWidth="1"/>
    <col min="19" max="19" width="10.5703125" customWidth="1"/>
  </cols>
  <sheetData>
    <row r="1" spans="1:19" ht="15.75" thickBot="1" x14ac:dyDescent="0.3">
      <c r="A1" t="s">
        <v>0</v>
      </c>
      <c r="B1" t="s">
        <v>1</v>
      </c>
      <c r="C1" t="s">
        <v>2</v>
      </c>
      <c r="E1" s="37" t="s">
        <v>69</v>
      </c>
      <c r="F1" s="38" t="s">
        <v>67</v>
      </c>
      <c r="G1" s="39" t="s">
        <v>76</v>
      </c>
      <c r="I1" s="37" t="s">
        <v>66</v>
      </c>
      <c r="J1" s="38" t="s">
        <v>67</v>
      </c>
      <c r="K1" s="39" t="s">
        <v>76</v>
      </c>
      <c r="M1" s="37" t="s">
        <v>78</v>
      </c>
      <c r="N1" s="38" t="s">
        <v>79</v>
      </c>
      <c r="O1" s="38" t="s">
        <v>80</v>
      </c>
      <c r="P1" s="39" t="s">
        <v>81</v>
      </c>
      <c r="R1" s="1" t="s">
        <v>84</v>
      </c>
      <c r="S1" s="1" t="s">
        <v>86</v>
      </c>
    </row>
    <row r="2" spans="1:19" x14ac:dyDescent="0.25">
      <c r="A2" s="32" t="s">
        <v>4</v>
      </c>
      <c r="B2" s="6">
        <v>116</v>
      </c>
      <c r="C2" s="6">
        <v>212</v>
      </c>
      <c r="D2" s="6"/>
      <c r="E2" s="4">
        <f>results_unroll_2__6[[#This Row],[cycles]]-CEILING(results_unroll_2__6[[#This Row],[insts]]/2,1)</f>
        <v>10</v>
      </c>
      <c r="F2" s="6">
        <f>MIN(E2:E18)</f>
        <v>2</v>
      </c>
      <c r="G2" s="40">
        <f>AVERAGE(E2:E18)</f>
        <v>5.2352941176470589</v>
      </c>
      <c r="H2" s="6"/>
      <c r="I2" s="4">
        <v>10</v>
      </c>
      <c r="J2" s="6">
        <f>MIN(I2:I18)</f>
        <v>3</v>
      </c>
      <c r="K2" s="40">
        <f>AVERAGE(I2:I18)</f>
        <v>10</v>
      </c>
      <c r="L2" s="6"/>
      <c r="M2" s="4">
        <f>E2-I2</f>
        <v>0</v>
      </c>
      <c r="N2" s="6">
        <f>ABS(M2)</f>
        <v>0</v>
      </c>
      <c r="O2" s="6">
        <f>AVERAGE(N2:N54)</f>
        <v>3.7075471698113209</v>
      </c>
      <c r="P2" s="33">
        <f>MAX(N2:N54)</f>
        <v>19</v>
      </c>
      <c r="R2">
        <f>1/12</f>
        <v>8.3333333333333329E-2</v>
      </c>
      <c r="S2">
        <v>3</v>
      </c>
    </row>
    <row r="3" spans="1:19" x14ac:dyDescent="0.25">
      <c r="A3" s="34" t="s">
        <v>5</v>
      </c>
      <c r="B3" s="35">
        <v>108</v>
      </c>
      <c r="C3" s="35">
        <v>212</v>
      </c>
      <c r="D3" s="35"/>
      <c r="E3" s="9">
        <f>results_unroll_2__6[[#This Row],[cycles]]-CEILING(results_unroll_2__6[[#This Row],[insts]]/2,1)</f>
        <v>2</v>
      </c>
      <c r="F3" s="35"/>
      <c r="G3" s="41"/>
      <c r="H3" s="35"/>
      <c r="I3" s="9">
        <v>4</v>
      </c>
      <c r="J3" s="35"/>
      <c r="K3" s="16"/>
      <c r="L3" s="35"/>
      <c r="M3" s="9">
        <f t="shared" ref="M3:M54" si="0">E3-I3</f>
        <v>-2</v>
      </c>
      <c r="N3" s="35">
        <f t="shared" ref="N3:N54" si="1">ABS(M3)</f>
        <v>2</v>
      </c>
      <c r="O3" s="35"/>
      <c r="P3" s="16"/>
      <c r="R3">
        <f>1/6</f>
        <v>0.16666666666666666</v>
      </c>
      <c r="S3">
        <v>3</v>
      </c>
    </row>
    <row r="4" spans="1:19" x14ac:dyDescent="0.25">
      <c r="A4" s="34" t="s">
        <v>6</v>
      </c>
      <c r="B4" s="35">
        <v>108</v>
      </c>
      <c r="C4" s="35">
        <v>212</v>
      </c>
      <c r="D4" s="35"/>
      <c r="E4" s="9">
        <f>results_unroll_2__6[[#This Row],[cycles]]-CEILING(results_unroll_2__6[[#This Row],[insts]]/2,1)</f>
        <v>2</v>
      </c>
      <c r="F4" s="35"/>
      <c r="G4" s="41"/>
      <c r="H4" s="35"/>
      <c r="I4" s="9">
        <v>3</v>
      </c>
      <c r="J4" s="35"/>
      <c r="K4" s="16"/>
      <c r="L4" s="35"/>
      <c r="M4" s="9">
        <f t="shared" si="0"/>
        <v>-1</v>
      </c>
      <c r="N4" s="35">
        <f t="shared" si="1"/>
        <v>1</v>
      </c>
      <c r="O4" s="35"/>
      <c r="P4" s="16"/>
      <c r="R4">
        <f>1/6</f>
        <v>0.16666666666666666</v>
      </c>
      <c r="S4">
        <v>3</v>
      </c>
    </row>
    <row r="5" spans="1:19" x14ac:dyDescent="0.25">
      <c r="A5" s="34" t="s">
        <v>7</v>
      </c>
      <c r="B5" s="35">
        <v>111</v>
      </c>
      <c r="C5" s="35">
        <v>212</v>
      </c>
      <c r="D5" s="35"/>
      <c r="E5" s="9">
        <f>results_unroll_2__6[[#This Row],[cycles]]-CEILING(results_unroll_2__6[[#This Row],[insts]]/2,1)</f>
        <v>5</v>
      </c>
      <c r="F5" s="35"/>
      <c r="G5" s="41"/>
      <c r="H5" s="35"/>
      <c r="I5" s="9">
        <v>11</v>
      </c>
      <c r="J5" s="35"/>
      <c r="K5" s="16"/>
      <c r="L5" s="35"/>
      <c r="M5" s="9">
        <f t="shared" si="0"/>
        <v>-6</v>
      </c>
      <c r="N5" s="35">
        <f t="shared" si="1"/>
        <v>6</v>
      </c>
      <c r="O5" s="35"/>
      <c r="P5" s="16"/>
      <c r="R5">
        <f>1/16</f>
        <v>6.25E-2</v>
      </c>
      <c r="S5">
        <v>4</v>
      </c>
    </row>
    <row r="6" spans="1:19" x14ac:dyDescent="0.25">
      <c r="A6" s="34" t="s">
        <v>71</v>
      </c>
      <c r="B6" s="35">
        <v>109.5</v>
      </c>
      <c r="C6" s="35">
        <v>212</v>
      </c>
      <c r="D6" s="35"/>
      <c r="E6" s="9">
        <f>results_unroll_2__6[[#This Row],[cycles]]-CEILING(results_unroll_2__6[[#This Row],[insts]]/2,1)</f>
        <v>3.5</v>
      </c>
      <c r="F6" s="35"/>
      <c r="G6" s="41"/>
      <c r="H6" s="35"/>
      <c r="I6" s="9">
        <v>13</v>
      </c>
      <c r="J6" s="35"/>
      <c r="K6" s="16"/>
      <c r="L6" s="35"/>
      <c r="M6" s="9">
        <f t="shared" si="0"/>
        <v>-9.5</v>
      </c>
      <c r="N6" s="35">
        <f t="shared" si="1"/>
        <v>9.5</v>
      </c>
      <c r="O6" s="35"/>
      <c r="P6" s="16"/>
      <c r="R6">
        <f>1/16</f>
        <v>6.25E-2</v>
      </c>
      <c r="S6">
        <v>4</v>
      </c>
    </row>
    <row r="7" spans="1:19" x14ac:dyDescent="0.25">
      <c r="A7" s="34" t="s">
        <v>72</v>
      </c>
      <c r="B7" s="35">
        <v>111.5</v>
      </c>
      <c r="C7" s="35">
        <v>212</v>
      </c>
      <c r="D7" s="35"/>
      <c r="E7" s="9">
        <f>results_unroll_2__6[[#This Row],[cycles]]-CEILING(results_unroll_2__6[[#This Row],[insts]]/2,1)</f>
        <v>5.5</v>
      </c>
      <c r="F7" s="35"/>
      <c r="G7" s="41"/>
      <c r="H7" s="35"/>
      <c r="I7" s="9">
        <v>12</v>
      </c>
      <c r="J7" s="35"/>
      <c r="K7" s="16"/>
      <c r="L7" s="35"/>
      <c r="M7" s="9">
        <f t="shared" si="0"/>
        <v>-6.5</v>
      </c>
      <c r="N7" s="35">
        <f t="shared" si="1"/>
        <v>6.5</v>
      </c>
      <c r="O7" s="35"/>
      <c r="P7" s="16"/>
      <c r="R7">
        <f>1/16</f>
        <v>6.25E-2</v>
      </c>
      <c r="S7">
        <v>4</v>
      </c>
    </row>
    <row r="8" spans="1:19" x14ac:dyDescent="0.25">
      <c r="A8" s="34" t="s">
        <v>8</v>
      </c>
      <c r="B8" s="35">
        <v>110</v>
      </c>
      <c r="C8" s="35">
        <v>212</v>
      </c>
      <c r="D8" s="35"/>
      <c r="E8" s="9">
        <f>results_unroll_2__6[[#This Row],[cycles]]-CEILING(results_unroll_2__6[[#This Row],[insts]]/2,1)</f>
        <v>4</v>
      </c>
      <c r="F8" s="35"/>
      <c r="G8" s="41"/>
      <c r="H8" s="35"/>
      <c r="I8" s="9">
        <v>4</v>
      </c>
      <c r="J8" s="35"/>
      <c r="K8" s="16"/>
      <c r="L8" s="35"/>
      <c r="M8" s="9">
        <f t="shared" si="0"/>
        <v>0</v>
      </c>
      <c r="N8" s="35">
        <f t="shared" si="1"/>
        <v>0</v>
      </c>
      <c r="O8" s="35"/>
      <c r="P8" s="16"/>
      <c r="R8">
        <f>1/8</f>
        <v>0.125</v>
      </c>
      <c r="S8">
        <v>4</v>
      </c>
    </row>
    <row r="9" spans="1:19" x14ac:dyDescent="0.25">
      <c r="A9" s="34" t="s">
        <v>9</v>
      </c>
      <c r="B9" s="35">
        <v>117.5</v>
      </c>
      <c r="C9" s="35">
        <v>212</v>
      </c>
      <c r="D9" s="35"/>
      <c r="E9" s="9">
        <f>results_unroll_2__6[[#This Row],[cycles]]-CEILING(results_unroll_2__6[[#This Row],[insts]]/2,1)</f>
        <v>11.5</v>
      </c>
      <c r="F9" s="35"/>
      <c r="G9" s="41"/>
      <c r="H9" s="35"/>
      <c r="I9" s="9">
        <v>6</v>
      </c>
      <c r="J9" s="35"/>
      <c r="K9" s="16"/>
      <c r="L9" s="35"/>
      <c r="M9" s="9">
        <f t="shared" si="0"/>
        <v>5.5</v>
      </c>
      <c r="N9" s="35">
        <f t="shared" si="1"/>
        <v>5.5</v>
      </c>
      <c r="O9" s="35"/>
      <c r="P9" s="16"/>
      <c r="R9">
        <f>1/8</f>
        <v>0.125</v>
      </c>
      <c r="S9">
        <v>4</v>
      </c>
    </row>
    <row r="10" spans="1:19" x14ac:dyDescent="0.25">
      <c r="A10" s="34" t="s">
        <v>73</v>
      </c>
      <c r="B10" s="35">
        <v>110</v>
      </c>
      <c r="C10" s="35">
        <v>212</v>
      </c>
      <c r="D10" s="35"/>
      <c r="E10" s="9">
        <f>results_unroll_2__6[[#This Row],[cycles]]-CEILING(results_unroll_2__6[[#This Row],[insts]]/2,1)</f>
        <v>4</v>
      </c>
      <c r="F10" s="35"/>
      <c r="G10" s="41"/>
      <c r="H10" s="35"/>
      <c r="I10" s="9">
        <v>12</v>
      </c>
      <c r="J10" s="35"/>
      <c r="K10" s="16"/>
      <c r="L10" s="35"/>
      <c r="M10" s="9">
        <f t="shared" si="0"/>
        <v>-8</v>
      </c>
      <c r="N10" s="35">
        <f t="shared" si="1"/>
        <v>8</v>
      </c>
      <c r="O10" s="35"/>
      <c r="P10" s="16"/>
      <c r="R10">
        <f>1/8</f>
        <v>0.125</v>
      </c>
      <c r="S10">
        <v>4</v>
      </c>
    </row>
    <row r="11" spans="1:19" x14ac:dyDescent="0.25">
      <c r="A11" s="34" t="s">
        <v>10</v>
      </c>
      <c r="B11" s="35">
        <v>111.5</v>
      </c>
      <c r="C11" s="35">
        <v>212</v>
      </c>
      <c r="D11" s="35"/>
      <c r="E11" s="9">
        <f>results_unroll_2__6[[#This Row],[cycles]]-CEILING(results_unroll_2__6[[#This Row],[insts]]/2,1)</f>
        <v>5.5</v>
      </c>
      <c r="F11" s="35"/>
      <c r="G11" s="41"/>
      <c r="H11" s="35"/>
      <c r="I11" s="9">
        <v>11</v>
      </c>
      <c r="J11" s="35"/>
      <c r="K11" s="16"/>
      <c r="L11" s="35"/>
      <c r="M11" s="9">
        <f t="shared" si="0"/>
        <v>-5.5</v>
      </c>
      <c r="N11" s="35">
        <f t="shared" si="1"/>
        <v>5.5</v>
      </c>
      <c r="O11" s="35"/>
      <c r="P11" s="16"/>
      <c r="R11">
        <f>1/10</f>
        <v>0.1</v>
      </c>
      <c r="S11">
        <v>5</v>
      </c>
    </row>
    <row r="12" spans="1:19" x14ac:dyDescent="0.25">
      <c r="A12" s="34" t="s">
        <v>11</v>
      </c>
      <c r="B12" s="35">
        <v>111</v>
      </c>
      <c r="C12" s="35">
        <v>212</v>
      </c>
      <c r="D12" s="35"/>
      <c r="E12" s="9">
        <f>results_unroll_2__6[[#This Row],[cycles]]-CEILING(results_unroll_2__6[[#This Row],[insts]]/2,1)</f>
        <v>5</v>
      </c>
      <c r="F12" s="35"/>
      <c r="G12" s="41"/>
      <c r="H12" s="35"/>
      <c r="I12" s="9">
        <v>9</v>
      </c>
      <c r="J12" s="35"/>
      <c r="K12" s="16"/>
      <c r="L12" s="35"/>
      <c r="M12" s="9">
        <f t="shared" si="0"/>
        <v>-4</v>
      </c>
      <c r="N12" s="35">
        <f t="shared" si="1"/>
        <v>4</v>
      </c>
      <c r="O12" s="35"/>
      <c r="P12" s="16"/>
      <c r="R12">
        <f>1/10</f>
        <v>0.1</v>
      </c>
      <c r="S12">
        <v>5</v>
      </c>
    </row>
    <row r="13" spans="1:19" x14ac:dyDescent="0.25">
      <c r="A13" s="34" t="s">
        <v>12</v>
      </c>
      <c r="B13" s="35">
        <v>112</v>
      </c>
      <c r="C13" s="35">
        <v>212</v>
      </c>
      <c r="D13" s="35"/>
      <c r="E13" s="9">
        <f>results_unroll_2__6[[#This Row],[cycles]]-CEILING(results_unroll_2__6[[#This Row],[insts]]/2,1)</f>
        <v>6</v>
      </c>
      <c r="F13" s="35"/>
      <c r="G13" s="41"/>
      <c r="H13" s="35"/>
      <c r="I13" s="9">
        <v>8</v>
      </c>
      <c r="J13" s="35"/>
      <c r="K13" s="16"/>
      <c r="L13" s="35"/>
      <c r="M13" s="9">
        <f t="shared" si="0"/>
        <v>-2</v>
      </c>
      <c r="N13" s="35">
        <f t="shared" si="1"/>
        <v>2</v>
      </c>
      <c r="O13" s="35"/>
      <c r="P13" s="16"/>
      <c r="R13">
        <f>1/10</f>
        <v>0.1</v>
      </c>
      <c r="S13">
        <v>5</v>
      </c>
    </row>
    <row r="14" spans="1:19" x14ac:dyDescent="0.25">
      <c r="A14" s="34" t="s">
        <v>74</v>
      </c>
      <c r="B14" s="35">
        <v>111</v>
      </c>
      <c r="C14" s="35">
        <v>212</v>
      </c>
      <c r="D14" s="35"/>
      <c r="E14" s="9">
        <f>results_unroll_2__6[[#This Row],[cycles]]-CEILING(results_unroll_2__6[[#This Row],[insts]]/2,1)</f>
        <v>5</v>
      </c>
      <c r="F14" s="35"/>
      <c r="G14" s="41"/>
      <c r="H14" s="35"/>
      <c r="I14" s="9">
        <v>19</v>
      </c>
      <c r="J14" s="35"/>
      <c r="K14" s="16"/>
      <c r="L14" s="35"/>
      <c r="M14" s="9">
        <f t="shared" si="0"/>
        <v>-14</v>
      </c>
      <c r="N14" s="35">
        <f t="shared" si="1"/>
        <v>14</v>
      </c>
      <c r="O14" s="35"/>
      <c r="P14" s="16"/>
      <c r="R14">
        <f>1/20</f>
        <v>0.05</v>
      </c>
      <c r="S14">
        <v>5</v>
      </c>
    </row>
    <row r="15" spans="1:19" x14ac:dyDescent="0.25">
      <c r="A15" s="34" t="s">
        <v>75</v>
      </c>
      <c r="B15" s="35">
        <v>112</v>
      </c>
      <c r="C15" s="35">
        <v>212</v>
      </c>
      <c r="D15" s="35"/>
      <c r="E15" s="9">
        <f>results_unroll_2__6[[#This Row],[cycles]]-CEILING(results_unroll_2__6[[#This Row],[insts]]/2,1)</f>
        <v>6</v>
      </c>
      <c r="F15" s="35"/>
      <c r="G15" s="41"/>
      <c r="H15" s="35"/>
      <c r="I15" s="9">
        <v>25</v>
      </c>
      <c r="J15" s="35"/>
      <c r="K15" s="16"/>
      <c r="L15" s="35"/>
      <c r="M15" s="9">
        <f t="shared" si="0"/>
        <v>-19</v>
      </c>
      <c r="N15" s="35">
        <f t="shared" si="1"/>
        <v>19</v>
      </c>
      <c r="O15" s="35"/>
      <c r="P15" s="16"/>
      <c r="R15">
        <f>1/20</f>
        <v>0.05</v>
      </c>
      <c r="S15">
        <v>5</v>
      </c>
    </row>
    <row r="16" spans="1:19" x14ac:dyDescent="0.25">
      <c r="A16" s="34" t="s">
        <v>13</v>
      </c>
      <c r="B16" s="35">
        <v>111</v>
      </c>
      <c r="C16" s="35">
        <v>212</v>
      </c>
      <c r="D16" s="35"/>
      <c r="E16" s="9">
        <f>results_unroll_2__6[[#This Row],[cycles]]-CEILING(results_unroll_2__6[[#This Row],[insts]]/2,1)</f>
        <v>5</v>
      </c>
      <c r="F16" s="35"/>
      <c r="G16" s="41"/>
      <c r="H16" s="35"/>
      <c r="I16" s="9">
        <v>12</v>
      </c>
      <c r="J16" s="35"/>
      <c r="K16" s="16"/>
      <c r="L16" s="35"/>
      <c r="M16" s="9">
        <f t="shared" si="0"/>
        <v>-7</v>
      </c>
      <c r="N16" s="35">
        <f t="shared" si="1"/>
        <v>7</v>
      </c>
      <c r="O16" s="35"/>
      <c r="P16" s="16"/>
      <c r="R16">
        <f>1/12</f>
        <v>8.3333333333333329E-2</v>
      </c>
      <c r="S16">
        <v>6</v>
      </c>
    </row>
    <row r="17" spans="1:21" x14ac:dyDescent="0.25">
      <c r="A17" s="34" t="s">
        <v>14</v>
      </c>
      <c r="B17" s="35">
        <v>110</v>
      </c>
      <c r="C17" s="35">
        <v>212</v>
      </c>
      <c r="D17" s="35"/>
      <c r="E17" s="9">
        <f>results_unroll_2__6[[#This Row],[cycles]]-CEILING(results_unroll_2__6[[#This Row],[insts]]/2,1)</f>
        <v>4</v>
      </c>
      <c r="F17" s="35"/>
      <c r="G17" s="41"/>
      <c r="H17" s="35"/>
      <c r="I17" s="9">
        <v>6</v>
      </c>
      <c r="J17" s="35"/>
      <c r="K17" s="16"/>
      <c r="L17" s="35"/>
      <c r="M17" s="9">
        <f t="shared" si="0"/>
        <v>-2</v>
      </c>
      <c r="N17" s="35">
        <f t="shared" si="1"/>
        <v>2</v>
      </c>
      <c r="O17" s="35"/>
      <c r="P17" s="16"/>
      <c r="R17">
        <f>1/12</f>
        <v>8.3333333333333329E-2</v>
      </c>
      <c r="S17">
        <v>6</v>
      </c>
      <c r="U17" t="s">
        <v>85</v>
      </c>
    </row>
    <row r="18" spans="1:21" ht="15.75" thickBot="1" x14ac:dyDescent="0.3">
      <c r="A18" s="36" t="s">
        <v>15</v>
      </c>
      <c r="B18" s="13">
        <v>111</v>
      </c>
      <c r="C18" s="13">
        <v>212</v>
      </c>
      <c r="D18" s="13"/>
      <c r="E18" s="11">
        <f>results_unroll_2__6[[#This Row],[cycles]]-CEILING(results_unroll_2__6[[#This Row],[insts]]/2,1)</f>
        <v>5</v>
      </c>
      <c r="F18" s="13"/>
      <c r="G18" s="42"/>
      <c r="H18" s="13"/>
      <c r="I18" s="11">
        <v>5</v>
      </c>
      <c r="J18" s="13"/>
      <c r="K18" s="17"/>
      <c r="L18" s="13"/>
      <c r="M18" s="11">
        <f t="shared" si="0"/>
        <v>0</v>
      </c>
      <c r="N18" s="13">
        <f t="shared" si="1"/>
        <v>0</v>
      </c>
      <c r="O18" s="13"/>
      <c r="P18" s="17"/>
      <c r="R18">
        <f>1/12</f>
        <v>8.3333333333333329E-2</v>
      </c>
      <c r="S18">
        <v>6</v>
      </c>
    </row>
    <row r="19" spans="1:21" x14ac:dyDescent="0.25">
      <c r="A19" s="32" t="s">
        <v>16</v>
      </c>
      <c r="B19" s="6">
        <v>102</v>
      </c>
      <c r="C19" s="6">
        <v>199</v>
      </c>
      <c r="D19" s="6"/>
      <c r="E19" s="4">
        <f>results_unroll_2__6[[#This Row],[cycles]]-CEILING(results_unroll_2__6[[#This Row],[insts]]/2,1)</f>
        <v>2</v>
      </c>
      <c r="F19" s="6">
        <f>MIN(E19:E30)</f>
        <v>1</v>
      </c>
      <c r="G19" s="40">
        <f>AVERAGE(E19:E30)</f>
        <v>4.083333333333333</v>
      </c>
      <c r="H19" s="6"/>
      <c r="I19" s="4">
        <v>4</v>
      </c>
      <c r="J19" s="6">
        <f>MIN(I19:I30)</f>
        <v>4</v>
      </c>
      <c r="K19" s="40">
        <f>AVERAGE(I19:I30)</f>
        <v>7.333333333333333</v>
      </c>
      <c r="L19" s="6"/>
      <c r="M19" s="4">
        <f t="shared" si="0"/>
        <v>-2</v>
      </c>
      <c r="N19" s="6">
        <f t="shared" si="1"/>
        <v>2</v>
      </c>
      <c r="O19" s="6"/>
      <c r="P19" s="33"/>
      <c r="R19">
        <f>1/12</f>
        <v>8.3333333333333329E-2</v>
      </c>
      <c r="S19">
        <v>3</v>
      </c>
    </row>
    <row r="20" spans="1:21" x14ac:dyDescent="0.25">
      <c r="A20" s="34" t="s">
        <v>17</v>
      </c>
      <c r="B20" s="35">
        <v>101</v>
      </c>
      <c r="C20" s="35">
        <v>199</v>
      </c>
      <c r="D20" s="35"/>
      <c r="E20" s="9">
        <f>results_unroll_2__6[[#This Row],[cycles]]-CEILING(results_unroll_2__6[[#This Row],[insts]]/2,1)</f>
        <v>1</v>
      </c>
      <c r="F20" s="35"/>
      <c r="G20" s="41"/>
      <c r="H20" s="35"/>
      <c r="I20" s="9">
        <v>4</v>
      </c>
      <c r="J20" s="35"/>
      <c r="K20" s="16"/>
      <c r="L20" s="35"/>
      <c r="M20" s="9">
        <f t="shared" si="0"/>
        <v>-3</v>
      </c>
      <c r="N20" s="35">
        <f t="shared" si="1"/>
        <v>3</v>
      </c>
      <c r="O20" s="35"/>
      <c r="P20" s="16"/>
      <c r="R20">
        <f>1/6</f>
        <v>0.16666666666666666</v>
      </c>
      <c r="S20">
        <v>3</v>
      </c>
    </row>
    <row r="21" spans="1:21" x14ac:dyDescent="0.25">
      <c r="A21" s="34" t="s">
        <v>18</v>
      </c>
      <c r="B21" s="35">
        <v>101.5</v>
      </c>
      <c r="C21" s="35">
        <v>199</v>
      </c>
      <c r="D21" s="35"/>
      <c r="E21" s="9">
        <f>results_unroll_2__6[[#This Row],[cycles]]-CEILING(results_unroll_2__6[[#This Row],[insts]]/2,1)</f>
        <v>1.5</v>
      </c>
      <c r="F21" s="35"/>
      <c r="G21" s="41"/>
      <c r="H21" s="35"/>
      <c r="I21" s="9">
        <v>6</v>
      </c>
      <c r="J21" s="35"/>
      <c r="K21" s="16"/>
      <c r="L21" s="35"/>
      <c r="M21" s="9">
        <f t="shared" si="0"/>
        <v>-4.5</v>
      </c>
      <c r="N21" s="35">
        <f t="shared" si="1"/>
        <v>4.5</v>
      </c>
      <c r="O21" s="35"/>
      <c r="P21" s="16"/>
      <c r="R21">
        <f>1/6</f>
        <v>0.16666666666666666</v>
      </c>
      <c r="S21">
        <v>3</v>
      </c>
    </row>
    <row r="22" spans="1:21" x14ac:dyDescent="0.25">
      <c r="A22" s="34" t="s">
        <v>19</v>
      </c>
      <c r="B22" s="35">
        <v>104</v>
      </c>
      <c r="C22" s="35">
        <v>199</v>
      </c>
      <c r="D22" s="35"/>
      <c r="E22" s="9">
        <f>results_unroll_2__6[[#This Row],[cycles]]-CEILING(results_unroll_2__6[[#This Row],[insts]]/2,1)</f>
        <v>4</v>
      </c>
      <c r="F22" s="35"/>
      <c r="G22" s="41"/>
      <c r="H22" s="35"/>
      <c r="I22" s="9">
        <v>7</v>
      </c>
      <c r="J22" s="35"/>
      <c r="K22" s="16"/>
      <c r="L22" s="35"/>
      <c r="M22" s="9">
        <f t="shared" si="0"/>
        <v>-3</v>
      </c>
      <c r="N22" s="35">
        <f t="shared" si="1"/>
        <v>3</v>
      </c>
      <c r="O22" s="35"/>
      <c r="P22" s="16"/>
      <c r="R22">
        <f>1/16</f>
        <v>6.25E-2</v>
      </c>
      <c r="S22">
        <v>4</v>
      </c>
    </row>
    <row r="23" spans="1:21" x14ac:dyDescent="0.25">
      <c r="A23" s="34" t="s">
        <v>20</v>
      </c>
      <c r="B23" s="35">
        <v>103</v>
      </c>
      <c r="C23" s="35">
        <v>199</v>
      </c>
      <c r="D23" s="35"/>
      <c r="E23" s="9">
        <f>results_unroll_2__6[[#This Row],[cycles]]-CEILING(results_unroll_2__6[[#This Row],[insts]]/2,1)</f>
        <v>3</v>
      </c>
      <c r="F23" s="35"/>
      <c r="G23" s="41"/>
      <c r="H23" s="35"/>
      <c r="I23" s="9">
        <v>5</v>
      </c>
      <c r="J23" s="35"/>
      <c r="K23" s="16"/>
      <c r="L23" s="35"/>
      <c r="M23" s="9">
        <f t="shared" si="0"/>
        <v>-2</v>
      </c>
      <c r="N23" s="35">
        <f t="shared" si="1"/>
        <v>2</v>
      </c>
      <c r="O23" s="35"/>
      <c r="P23" s="16"/>
      <c r="R23">
        <f>1/8</f>
        <v>0.125</v>
      </c>
      <c r="S23">
        <v>4</v>
      </c>
    </row>
    <row r="24" spans="1:21" x14ac:dyDescent="0.25">
      <c r="A24" s="34" t="s">
        <v>21</v>
      </c>
      <c r="B24" s="35">
        <v>104</v>
      </c>
      <c r="C24" s="35">
        <v>199</v>
      </c>
      <c r="D24" s="35"/>
      <c r="E24" s="9">
        <f>results_unroll_2__6[[#This Row],[cycles]]-CEILING(results_unroll_2__6[[#This Row],[insts]]/2,1)</f>
        <v>4</v>
      </c>
      <c r="F24" s="35"/>
      <c r="G24" s="41"/>
      <c r="H24" s="35"/>
      <c r="I24" s="9">
        <v>6</v>
      </c>
      <c r="J24" s="35"/>
      <c r="K24" s="16"/>
      <c r="L24" s="35"/>
      <c r="M24" s="9">
        <f t="shared" si="0"/>
        <v>-2</v>
      </c>
      <c r="N24" s="35">
        <f t="shared" si="1"/>
        <v>2</v>
      </c>
      <c r="O24" s="35"/>
      <c r="P24" s="16"/>
      <c r="R24">
        <f>1/8</f>
        <v>0.125</v>
      </c>
      <c r="S24">
        <v>4</v>
      </c>
    </row>
    <row r="25" spans="1:21" x14ac:dyDescent="0.25">
      <c r="A25" s="34" t="s">
        <v>22</v>
      </c>
      <c r="B25" s="35">
        <v>103</v>
      </c>
      <c r="C25" s="35">
        <v>199</v>
      </c>
      <c r="D25" s="35"/>
      <c r="E25" s="9">
        <f>results_unroll_2__6[[#This Row],[cycles]]-CEILING(results_unroll_2__6[[#This Row],[insts]]/2,1)</f>
        <v>3</v>
      </c>
      <c r="F25" s="35"/>
      <c r="G25" s="41"/>
      <c r="H25" s="35"/>
      <c r="I25" s="9">
        <v>11</v>
      </c>
      <c r="J25" s="35"/>
      <c r="K25" s="16"/>
      <c r="L25" s="35"/>
      <c r="M25" s="9">
        <f t="shared" si="0"/>
        <v>-8</v>
      </c>
      <c r="N25" s="35">
        <f t="shared" si="1"/>
        <v>8</v>
      </c>
      <c r="O25" s="35"/>
      <c r="P25" s="16"/>
      <c r="R25">
        <f>1/10</f>
        <v>0.1</v>
      </c>
      <c r="S25">
        <v>5</v>
      </c>
    </row>
    <row r="26" spans="1:21" x14ac:dyDescent="0.25">
      <c r="A26" s="34" t="s">
        <v>23</v>
      </c>
      <c r="B26" s="35">
        <v>109</v>
      </c>
      <c r="C26" s="35">
        <v>199</v>
      </c>
      <c r="D26" s="35"/>
      <c r="E26" s="9">
        <f>results_unroll_2__6[[#This Row],[cycles]]-CEILING(results_unroll_2__6[[#This Row],[insts]]/2,1)</f>
        <v>9</v>
      </c>
      <c r="F26" s="35"/>
      <c r="G26" s="41"/>
      <c r="H26" s="35"/>
      <c r="I26" s="9">
        <v>7</v>
      </c>
      <c r="J26" s="35"/>
      <c r="K26" s="16"/>
      <c r="L26" s="35"/>
      <c r="M26" s="9">
        <f t="shared" si="0"/>
        <v>2</v>
      </c>
      <c r="N26" s="35">
        <f t="shared" si="1"/>
        <v>2</v>
      </c>
      <c r="O26" s="35"/>
      <c r="P26" s="16"/>
      <c r="R26">
        <f>1/10</f>
        <v>0.1</v>
      </c>
      <c r="S26">
        <v>5</v>
      </c>
    </row>
    <row r="27" spans="1:21" x14ac:dyDescent="0.25">
      <c r="A27" s="34" t="s">
        <v>24</v>
      </c>
      <c r="B27" s="35">
        <v>110</v>
      </c>
      <c r="C27" s="35">
        <v>199</v>
      </c>
      <c r="D27" s="35"/>
      <c r="E27" s="9">
        <f>results_unroll_2__6[[#This Row],[cycles]]-CEILING(results_unroll_2__6[[#This Row],[insts]]/2,1)</f>
        <v>10</v>
      </c>
      <c r="F27" s="35"/>
      <c r="G27" s="41"/>
      <c r="H27" s="35"/>
      <c r="I27" s="9">
        <v>12</v>
      </c>
      <c r="J27" s="35"/>
      <c r="K27" s="16"/>
      <c r="L27" s="35"/>
      <c r="M27" s="9">
        <f t="shared" si="0"/>
        <v>-2</v>
      </c>
      <c r="N27" s="35">
        <f t="shared" si="1"/>
        <v>2</v>
      </c>
      <c r="O27" s="35"/>
      <c r="P27" s="16"/>
      <c r="R27">
        <f>1/10</f>
        <v>0.1</v>
      </c>
      <c r="S27">
        <v>5</v>
      </c>
    </row>
    <row r="28" spans="1:21" x14ac:dyDescent="0.25">
      <c r="A28" s="34" t="s">
        <v>25</v>
      </c>
      <c r="B28" s="35">
        <v>106</v>
      </c>
      <c r="C28" s="35">
        <v>199</v>
      </c>
      <c r="D28" s="35"/>
      <c r="E28" s="9">
        <f>results_unroll_2__6[[#This Row],[cycles]]-CEILING(results_unroll_2__6[[#This Row],[insts]]/2,1)</f>
        <v>6</v>
      </c>
      <c r="F28" s="35"/>
      <c r="G28" s="41"/>
      <c r="H28" s="35"/>
      <c r="I28" s="9">
        <v>11</v>
      </c>
      <c r="J28" s="35"/>
      <c r="K28" s="16"/>
      <c r="L28" s="35"/>
      <c r="M28" s="9">
        <f t="shared" si="0"/>
        <v>-5</v>
      </c>
      <c r="N28" s="35">
        <f t="shared" si="1"/>
        <v>5</v>
      </c>
      <c r="O28" s="35"/>
      <c r="P28" s="16"/>
      <c r="R28">
        <f>1/12</f>
        <v>8.3333333333333329E-2</v>
      </c>
      <c r="S28">
        <v>6</v>
      </c>
    </row>
    <row r="29" spans="1:21" x14ac:dyDescent="0.25">
      <c r="A29" s="34" t="s">
        <v>26</v>
      </c>
      <c r="B29" s="35">
        <v>103.5</v>
      </c>
      <c r="C29" s="35">
        <v>199</v>
      </c>
      <c r="D29" s="35"/>
      <c r="E29" s="9">
        <f>results_unroll_2__6[[#This Row],[cycles]]-CEILING(results_unroll_2__6[[#This Row],[insts]]/2,1)</f>
        <v>3.5</v>
      </c>
      <c r="F29" s="35"/>
      <c r="G29" s="41"/>
      <c r="H29" s="35"/>
      <c r="I29" s="9">
        <v>10</v>
      </c>
      <c r="J29" s="35"/>
      <c r="K29" s="16"/>
      <c r="L29" s="35"/>
      <c r="M29" s="9">
        <f t="shared" si="0"/>
        <v>-6.5</v>
      </c>
      <c r="N29" s="35">
        <f t="shared" si="1"/>
        <v>6.5</v>
      </c>
      <c r="O29" s="35"/>
      <c r="P29" s="16"/>
      <c r="R29">
        <f>1/12</f>
        <v>8.3333333333333329E-2</v>
      </c>
      <c r="S29">
        <v>6</v>
      </c>
    </row>
    <row r="30" spans="1:21" ht="15.75" thickBot="1" x14ac:dyDescent="0.3">
      <c r="A30" s="36" t="s">
        <v>27</v>
      </c>
      <c r="B30" s="13">
        <v>102</v>
      </c>
      <c r="C30" s="13">
        <v>199</v>
      </c>
      <c r="D30" s="13"/>
      <c r="E30" s="11">
        <f>results_unroll_2__6[[#This Row],[cycles]]-CEILING(results_unroll_2__6[[#This Row],[insts]]/2,1)</f>
        <v>2</v>
      </c>
      <c r="F30" s="13"/>
      <c r="G30" s="42"/>
      <c r="H30" s="13"/>
      <c r="I30" s="11">
        <v>5</v>
      </c>
      <c r="J30" s="13"/>
      <c r="K30" s="17"/>
      <c r="L30" s="13"/>
      <c r="M30" s="11">
        <f t="shared" si="0"/>
        <v>-3</v>
      </c>
      <c r="N30" s="13">
        <f t="shared" si="1"/>
        <v>3</v>
      </c>
      <c r="O30" s="13"/>
      <c r="P30" s="17"/>
      <c r="R30">
        <f>1/12</f>
        <v>8.3333333333333329E-2</v>
      </c>
      <c r="S30">
        <v>6</v>
      </c>
    </row>
    <row r="31" spans="1:21" x14ac:dyDescent="0.25">
      <c r="A31" s="32" t="s">
        <v>28</v>
      </c>
      <c r="B31" s="6">
        <v>117</v>
      </c>
      <c r="C31" s="6">
        <v>212</v>
      </c>
      <c r="D31" s="6"/>
      <c r="E31" s="4">
        <f>results_unroll_2__6[[#This Row],[cycles]]-CEILING(results_unroll_2__6[[#This Row],[insts]]/2,1)</f>
        <v>11</v>
      </c>
      <c r="F31" s="6">
        <f>MIN(E31:E42)</f>
        <v>1.5</v>
      </c>
      <c r="G31" s="40">
        <f>AVERAGE(E31:E42)</f>
        <v>5.5</v>
      </c>
      <c r="H31" s="6"/>
      <c r="I31" s="4">
        <v>8</v>
      </c>
      <c r="J31" s="6">
        <f>MIN(I31:I42)</f>
        <v>4</v>
      </c>
      <c r="K31" s="40">
        <f>AVERAGE(I31:I42)</f>
        <v>6.666666666666667</v>
      </c>
      <c r="L31" s="6"/>
      <c r="M31" s="4">
        <f t="shared" si="0"/>
        <v>3</v>
      </c>
      <c r="N31" s="6">
        <f t="shared" si="1"/>
        <v>3</v>
      </c>
      <c r="O31" s="6"/>
      <c r="P31" s="33"/>
      <c r="R31">
        <f>1/12</f>
        <v>8.3333333333333329E-2</v>
      </c>
      <c r="S31">
        <v>3</v>
      </c>
    </row>
    <row r="32" spans="1:21" x14ac:dyDescent="0.25">
      <c r="A32" s="34" t="s">
        <v>29</v>
      </c>
      <c r="B32" s="35">
        <v>107.5</v>
      </c>
      <c r="C32" s="35">
        <v>212</v>
      </c>
      <c r="D32" s="35"/>
      <c r="E32" s="9">
        <f>results_unroll_2__6[[#This Row],[cycles]]-CEILING(results_unroll_2__6[[#This Row],[insts]]/2,1)</f>
        <v>1.5</v>
      </c>
      <c r="F32" s="35"/>
      <c r="G32" s="41"/>
      <c r="H32" s="35"/>
      <c r="I32" s="9">
        <v>6</v>
      </c>
      <c r="J32" s="35"/>
      <c r="K32" s="16"/>
      <c r="L32" s="35"/>
      <c r="M32" s="9">
        <f t="shared" si="0"/>
        <v>-4.5</v>
      </c>
      <c r="N32" s="35">
        <f t="shared" si="1"/>
        <v>4.5</v>
      </c>
      <c r="O32" s="35"/>
      <c r="P32" s="16"/>
      <c r="R32">
        <f>1/6</f>
        <v>0.16666666666666666</v>
      </c>
      <c r="S32">
        <v>3</v>
      </c>
    </row>
    <row r="33" spans="1:22" x14ac:dyDescent="0.25">
      <c r="A33" s="34" t="s">
        <v>30</v>
      </c>
      <c r="B33" s="35">
        <v>109</v>
      </c>
      <c r="C33" s="35">
        <v>212</v>
      </c>
      <c r="D33" s="35"/>
      <c r="E33" s="9">
        <f>results_unroll_2__6[[#This Row],[cycles]]-CEILING(results_unroll_2__6[[#This Row],[insts]]/2,1)</f>
        <v>3</v>
      </c>
      <c r="F33" s="35"/>
      <c r="G33" s="41"/>
      <c r="H33" s="35"/>
      <c r="I33" s="9">
        <v>4</v>
      </c>
      <c r="J33" s="35"/>
      <c r="K33" s="16"/>
      <c r="L33" s="35"/>
      <c r="M33" s="9">
        <f t="shared" si="0"/>
        <v>-1</v>
      </c>
      <c r="N33" s="35">
        <f t="shared" si="1"/>
        <v>1</v>
      </c>
      <c r="O33" s="35"/>
      <c r="P33" s="16"/>
      <c r="R33">
        <f>1/6</f>
        <v>0.16666666666666666</v>
      </c>
      <c r="S33">
        <v>3</v>
      </c>
    </row>
    <row r="34" spans="1:22" x14ac:dyDescent="0.25">
      <c r="A34" s="34" t="s">
        <v>31</v>
      </c>
      <c r="B34" s="35">
        <v>112</v>
      </c>
      <c r="C34" s="35">
        <v>212</v>
      </c>
      <c r="D34" s="35"/>
      <c r="E34" s="9">
        <f>results_unroll_2__6[[#This Row],[cycles]]-CEILING(results_unroll_2__6[[#This Row],[insts]]/2,1)</f>
        <v>6</v>
      </c>
      <c r="F34" s="35"/>
      <c r="G34" s="41"/>
      <c r="H34" s="35"/>
      <c r="I34" s="9">
        <v>10</v>
      </c>
      <c r="J34" s="35"/>
      <c r="K34" s="16"/>
      <c r="L34" s="35"/>
      <c r="M34" s="9">
        <f t="shared" si="0"/>
        <v>-4</v>
      </c>
      <c r="N34" s="35">
        <f t="shared" si="1"/>
        <v>4</v>
      </c>
      <c r="O34" s="35"/>
      <c r="P34" s="16"/>
      <c r="R34">
        <f>1/16</f>
        <v>6.25E-2</v>
      </c>
      <c r="S34">
        <v>4</v>
      </c>
    </row>
    <row r="35" spans="1:22" x14ac:dyDescent="0.25">
      <c r="A35" s="34" t="s">
        <v>32</v>
      </c>
      <c r="B35" s="35">
        <v>109</v>
      </c>
      <c r="C35" s="35">
        <v>212</v>
      </c>
      <c r="D35" s="35"/>
      <c r="E35" s="9">
        <f>results_unroll_2__6[[#This Row],[cycles]]-CEILING(results_unroll_2__6[[#This Row],[insts]]/2,1)</f>
        <v>3</v>
      </c>
      <c r="F35" s="35"/>
      <c r="G35" s="41"/>
      <c r="H35" s="35"/>
      <c r="I35" s="9">
        <v>4</v>
      </c>
      <c r="J35" s="35"/>
      <c r="K35" s="16"/>
      <c r="L35" s="35"/>
      <c r="M35" s="9">
        <f t="shared" si="0"/>
        <v>-1</v>
      </c>
      <c r="N35" s="35">
        <f t="shared" si="1"/>
        <v>1</v>
      </c>
      <c r="O35" s="35"/>
      <c r="P35" s="16"/>
      <c r="R35">
        <f>1/8</f>
        <v>0.125</v>
      </c>
      <c r="S35">
        <v>4</v>
      </c>
      <c r="V35" t="s">
        <v>87</v>
      </c>
    </row>
    <row r="36" spans="1:22" x14ac:dyDescent="0.25">
      <c r="A36" s="34" t="s">
        <v>33</v>
      </c>
      <c r="B36" s="35">
        <v>111</v>
      </c>
      <c r="C36" s="35">
        <v>212</v>
      </c>
      <c r="D36" s="35"/>
      <c r="E36" s="9">
        <f>results_unroll_2__6[[#This Row],[cycles]]-CEILING(results_unroll_2__6[[#This Row],[insts]]/2,1)</f>
        <v>5</v>
      </c>
      <c r="F36" s="35"/>
      <c r="G36" s="41"/>
      <c r="H36" s="35"/>
      <c r="I36" s="9">
        <v>5</v>
      </c>
      <c r="J36" s="35"/>
      <c r="K36" s="16"/>
      <c r="L36" s="35"/>
      <c r="M36" s="9">
        <f t="shared" si="0"/>
        <v>0</v>
      </c>
      <c r="N36" s="35">
        <f t="shared" si="1"/>
        <v>0</v>
      </c>
      <c r="O36" s="35"/>
      <c r="P36" s="16"/>
      <c r="R36">
        <f>1/8</f>
        <v>0.125</v>
      </c>
      <c r="S36">
        <v>4</v>
      </c>
      <c r="V36" t="s">
        <v>88</v>
      </c>
    </row>
    <row r="37" spans="1:22" x14ac:dyDescent="0.25">
      <c r="A37" s="34" t="s">
        <v>34</v>
      </c>
      <c r="B37" s="35">
        <v>112.5</v>
      </c>
      <c r="C37" s="35">
        <v>212</v>
      </c>
      <c r="D37" s="35"/>
      <c r="E37" s="9">
        <f>results_unroll_2__6[[#This Row],[cycles]]-CEILING(results_unroll_2__6[[#This Row],[insts]]/2,1)</f>
        <v>6.5</v>
      </c>
      <c r="F37" s="35"/>
      <c r="G37" s="41"/>
      <c r="H37" s="35"/>
      <c r="I37" s="9">
        <v>7</v>
      </c>
      <c r="J37" s="35"/>
      <c r="K37" s="16"/>
      <c r="L37" s="35"/>
      <c r="M37" s="9">
        <f t="shared" si="0"/>
        <v>-0.5</v>
      </c>
      <c r="N37" s="35">
        <f t="shared" si="1"/>
        <v>0.5</v>
      </c>
      <c r="O37" s="35"/>
      <c r="P37" s="16"/>
      <c r="R37">
        <f>1/10</f>
        <v>0.1</v>
      </c>
      <c r="S37">
        <v>5</v>
      </c>
    </row>
    <row r="38" spans="1:22" x14ac:dyDescent="0.25">
      <c r="A38" s="34" t="s">
        <v>35</v>
      </c>
      <c r="B38" s="35">
        <v>111</v>
      </c>
      <c r="C38" s="35">
        <v>212</v>
      </c>
      <c r="D38" s="35"/>
      <c r="E38" s="9">
        <f>results_unroll_2__6[[#This Row],[cycles]]-CEILING(results_unroll_2__6[[#This Row],[insts]]/2,1)</f>
        <v>5</v>
      </c>
      <c r="F38" s="35"/>
      <c r="G38" s="41"/>
      <c r="H38" s="35"/>
      <c r="I38" s="9">
        <v>7</v>
      </c>
      <c r="J38" s="35"/>
      <c r="K38" s="16"/>
      <c r="L38" s="35"/>
      <c r="M38" s="9">
        <f t="shared" si="0"/>
        <v>-2</v>
      </c>
      <c r="N38" s="35">
        <f t="shared" si="1"/>
        <v>2</v>
      </c>
      <c r="O38" s="35"/>
      <c r="P38" s="16"/>
      <c r="R38">
        <f>1/10</f>
        <v>0.1</v>
      </c>
      <c r="S38">
        <v>5</v>
      </c>
    </row>
    <row r="39" spans="1:22" x14ac:dyDescent="0.25">
      <c r="A39" s="34" t="s">
        <v>36</v>
      </c>
      <c r="B39" s="35">
        <v>117.5</v>
      </c>
      <c r="C39" s="35">
        <v>212</v>
      </c>
      <c r="D39" s="35"/>
      <c r="E39" s="9">
        <f>results_unroll_2__6[[#This Row],[cycles]]-CEILING(results_unroll_2__6[[#This Row],[insts]]/2,1)</f>
        <v>11.5</v>
      </c>
      <c r="F39" s="35"/>
      <c r="G39" s="41"/>
      <c r="H39" s="35"/>
      <c r="I39" s="9">
        <v>8</v>
      </c>
      <c r="J39" s="35"/>
      <c r="K39" s="16"/>
      <c r="L39" s="35"/>
      <c r="M39" s="9">
        <f t="shared" si="0"/>
        <v>3.5</v>
      </c>
      <c r="N39" s="35">
        <f t="shared" si="1"/>
        <v>3.5</v>
      </c>
      <c r="O39" s="35"/>
      <c r="P39" s="16"/>
      <c r="R39">
        <f>1/10</f>
        <v>0.1</v>
      </c>
      <c r="S39">
        <v>5</v>
      </c>
    </row>
    <row r="40" spans="1:22" x14ac:dyDescent="0.25">
      <c r="A40" s="34" t="s">
        <v>37</v>
      </c>
      <c r="B40" s="35">
        <v>110.5</v>
      </c>
      <c r="C40" s="35">
        <v>212</v>
      </c>
      <c r="D40" s="35"/>
      <c r="E40" s="9">
        <f>results_unroll_2__6[[#This Row],[cycles]]-CEILING(results_unroll_2__6[[#This Row],[insts]]/2,1)</f>
        <v>4.5</v>
      </c>
      <c r="F40" s="35"/>
      <c r="G40" s="41"/>
      <c r="H40" s="35"/>
      <c r="I40" s="9">
        <v>5</v>
      </c>
      <c r="J40" s="35"/>
      <c r="K40" s="16"/>
      <c r="L40" s="35"/>
      <c r="M40" s="9">
        <f t="shared" si="0"/>
        <v>-0.5</v>
      </c>
      <c r="N40" s="35">
        <f t="shared" si="1"/>
        <v>0.5</v>
      </c>
      <c r="O40" s="35"/>
      <c r="P40" s="16"/>
      <c r="R40">
        <f>1/12</f>
        <v>8.3333333333333329E-2</v>
      </c>
      <c r="S40">
        <v>6</v>
      </c>
    </row>
    <row r="41" spans="1:22" x14ac:dyDescent="0.25">
      <c r="A41" s="34" t="s">
        <v>38</v>
      </c>
      <c r="B41" s="35">
        <v>111</v>
      </c>
      <c r="C41" s="35">
        <v>212</v>
      </c>
      <c r="D41" s="35"/>
      <c r="E41" s="9">
        <f>results_unroll_2__6[[#This Row],[cycles]]-CEILING(results_unroll_2__6[[#This Row],[insts]]/2,1)</f>
        <v>5</v>
      </c>
      <c r="F41" s="35"/>
      <c r="G41" s="41"/>
      <c r="H41" s="35"/>
      <c r="I41" s="9">
        <v>11</v>
      </c>
      <c r="J41" s="35"/>
      <c r="K41" s="16"/>
      <c r="L41" s="35"/>
      <c r="M41" s="9">
        <f t="shared" si="0"/>
        <v>-6</v>
      </c>
      <c r="N41" s="35">
        <f t="shared" si="1"/>
        <v>6</v>
      </c>
      <c r="O41" s="35"/>
      <c r="P41" s="16"/>
      <c r="R41">
        <f>1/12</f>
        <v>8.3333333333333329E-2</v>
      </c>
      <c r="S41">
        <v>6</v>
      </c>
    </row>
    <row r="42" spans="1:22" ht="15.75" thickBot="1" x14ac:dyDescent="0.3">
      <c r="A42" s="36" t="s">
        <v>39</v>
      </c>
      <c r="B42" s="13">
        <v>110</v>
      </c>
      <c r="C42" s="13">
        <v>212</v>
      </c>
      <c r="D42" s="13"/>
      <c r="E42" s="11">
        <f>results_unroll_2__6[[#This Row],[cycles]]-CEILING(results_unroll_2__6[[#This Row],[insts]]/2,1)</f>
        <v>4</v>
      </c>
      <c r="F42" s="13"/>
      <c r="G42" s="42"/>
      <c r="H42" s="13"/>
      <c r="I42" s="11">
        <v>5</v>
      </c>
      <c r="J42" s="13"/>
      <c r="K42" s="17"/>
      <c r="L42" s="13"/>
      <c r="M42" s="11">
        <f t="shared" si="0"/>
        <v>-1</v>
      </c>
      <c r="N42" s="13">
        <f t="shared" si="1"/>
        <v>1</v>
      </c>
      <c r="O42" s="13"/>
      <c r="P42" s="17"/>
      <c r="R42">
        <f>1/12</f>
        <v>8.3333333333333329E-2</v>
      </c>
      <c r="S42">
        <v>6</v>
      </c>
    </row>
    <row r="43" spans="1:22" x14ac:dyDescent="0.25">
      <c r="A43" s="32" t="s">
        <v>40</v>
      </c>
      <c r="B43" s="6">
        <v>101.5</v>
      </c>
      <c r="C43" s="6">
        <v>199</v>
      </c>
      <c r="D43" s="6"/>
      <c r="E43" s="4">
        <f>results_unroll_2__6[[#This Row],[cycles]]-CEILING(results_unroll_2__6[[#This Row],[insts]]/2,1)</f>
        <v>1.5</v>
      </c>
      <c r="F43" s="6">
        <f>MIN(E43:E54)</f>
        <v>0.5</v>
      </c>
      <c r="G43" s="40">
        <f>AVERAGE(E43:E54)</f>
        <v>4.041666666666667</v>
      </c>
      <c r="H43" s="6"/>
      <c r="I43" s="4">
        <v>3</v>
      </c>
      <c r="J43" s="6">
        <f>MIN(I43:I54)</f>
        <v>1</v>
      </c>
      <c r="K43" s="40">
        <f>AVERAGE(I43:I54)</f>
        <v>6.75</v>
      </c>
      <c r="L43" s="6"/>
      <c r="M43" s="4">
        <f t="shared" si="0"/>
        <v>-1.5</v>
      </c>
      <c r="N43" s="6">
        <f t="shared" si="1"/>
        <v>1.5</v>
      </c>
      <c r="O43" s="6"/>
      <c r="P43" s="33"/>
      <c r="R43">
        <f>1/12</f>
        <v>8.3333333333333329E-2</v>
      </c>
      <c r="S43">
        <v>3</v>
      </c>
    </row>
    <row r="44" spans="1:22" x14ac:dyDescent="0.25">
      <c r="A44" s="34" t="s">
        <v>41</v>
      </c>
      <c r="B44" s="35">
        <v>101.5</v>
      </c>
      <c r="C44" s="35">
        <v>199</v>
      </c>
      <c r="D44" s="35"/>
      <c r="E44" s="9">
        <f>results_unroll_2__6[[#This Row],[cycles]]-CEILING(results_unroll_2__6[[#This Row],[insts]]/2,1)</f>
        <v>1.5</v>
      </c>
      <c r="F44" s="35"/>
      <c r="G44" s="41"/>
      <c r="H44" s="35"/>
      <c r="I44" s="9">
        <v>1</v>
      </c>
      <c r="J44" s="35"/>
      <c r="K44" s="16"/>
      <c r="L44" s="35"/>
      <c r="M44" s="9">
        <f t="shared" si="0"/>
        <v>0.5</v>
      </c>
      <c r="N44" s="35">
        <f t="shared" si="1"/>
        <v>0.5</v>
      </c>
      <c r="O44" s="35"/>
      <c r="P44" s="16"/>
      <c r="R44">
        <f>1/6</f>
        <v>0.16666666666666666</v>
      </c>
      <c r="S44">
        <v>3</v>
      </c>
    </row>
    <row r="45" spans="1:22" x14ac:dyDescent="0.25">
      <c r="A45" s="34" t="s">
        <v>42</v>
      </c>
      <c r="B45" s="35">
        <v>101.5</v>
      </c>
      <c r="C45" s="35">
        <v>199</v>
      </c>
      <c r="D45" s="35"/>
      <c r="E45" s="9">
        <f>results_unroll_2__6[[#This Row],[cycles]]-CEILING(results_unroll_2__6[[#This Row],[insts]]/2,1)</f>
        <v>1.5</v>
      </c>
      <c r="F45" s="35"/>
      <c r="G45" s="41"/>
      <c r="H45" s="35"/>
      <c r="I45" s="9">
        <v>1</v>
      </c>
      <c r="J45" s="35"/>
      <c r="K45" s="16"/>
      <c r="L45" s="35"/>
      <c r="M45" s="9">
        <f t="shared" si="0"/>
        <v>0.5</v>
      </c>
      <c r="N45" s="35">
        <f t="shared" si="1"/>
        <v>0.5</v>
      </c>
      <c r="O45" s="35"/>
      <c r="P45" s="16"/>
      <c r="R45">
        <f>1/6</f>
        <v>0.16666666666666666</v>
      </c>
      <c r="S45">
        <v>3</v>
      </c>
    </row>
    <row r="46" spans="1:22" x14ac:dyDescent="0.25">
      <c r="A46" s="34" t="s">
        <v>43</v>
      </c>
      <c r="B46" s="35">
        <v>103</v>
      </c>
      <c r="C46" s="35">
        <v>199</v>
      </c>
      <c r="D46" s="35"/>
      <c r="E46" s="9">
        <f>results_unroll_2__6[[#This Row],[cycles]]-CEILING(results_unroll_2__6[[#This Row],[insts]]/2,1)</f>
        <v>3</v>
      </c>
      <c r="F46" s="35"/>
      <c r="G46" s="41"/>
      <c r="H46" s="35"/>
      <c r="I46" s="9">
        <v>5</v>
      </c>
      <c r="J46" s="35"/>
      <c r="K46" s="16"/>
      <c r="L46" s="35"/>
      <c r="M46" s="9">
        <f t="shared" si="0"/>
        <v>-2</v>
      </c>
      <c r="N46" s="35">
        <f t="shared" si="1"/>
        <v>2</v>
      </c>
      <c r="O46" s="35"/>
      <c r="P46" s="16"/>
      <c r="R46">
        <f>1/16</f>
        <v>6.25E-2</v>
      </c>
      <c r="S46">
        <v>4</v>
      </c>
    </row>
    <row r="47" spans="1:22" x14ac:dyDescent="0.25">
      <c r="A47" s="34" t="s">
        <v>44</v>
      </c>
      <c r="B47" s="35">
        <v>108.5</v>
      </c>
      <c r="C47" s="35">
        <v>199</v>
      </c>
      <c r="D47" s="35"/>
      <c r="E47" s="9">
        <f>results_unroll_2__6[[#This Row],[cycles]]-CEILING(results_unroll_2__6[[#This Row],[insts]]/2,1)</f>
        <v>8.5</v>
      </c>
      <c r="F47" s="35"/>
      <c r="G47" s="41"/>
      <c r="H47" s="35"/>
      <c r="I47" s="9">
        <v>11</v>
      </c>
      <c r="J47" s="35"/>
      <c r="K47" s="16"/>
      <c r="L47" s="35"/>
      <c r="M47" s="9">
        <f t="shared" si="0"/>
        <v>-2.5</v>
      </c>
      <c r="N47" s="35">
        <f t="shared" si="1"/>
        <v>2.5</v>
      </c>
      <c r="O47" s="35"/>
      <c r="P47" s="16"/>
      <c r="R47">
        <f>1/8</f>
        <v>0.125</v>
      </c>
      <c r="S47">
        <v>4</v>
      </c>
    </row>
    <row r="48" spans="1:22" x14ac:dyDescent="0.25">
      <c r="A48" s="34" t="s">
        <v>45</v>
      </c>
      <c r="B48" s="35">
        <v>103.5</v>
      </c>
      <c r="C48" s="35">
        <v>199</v>
      </c>
      <c r="D48" s="35"/>
      <c r="E48" s="9">
        <f>results_unroll_2__6[[#This Row],[cycles]]-CEILING(results_unroll_2__6[[#This Row],[insts]]/2,1)</f>
        <v>3.5</v>
      </c>
      <c r="F48" s="35"/>
      <c r="G48" s="41"/>
      <c r="H48" s="35"/>
      <c r="I48" s="9">
        <v>5</v>
      </c>
      <c r="J48" s="35"/>
      <c r="K48" s="16"/>
      <c r="L48" s="35"/>
      <c r="M48" s="9">
        <f t="shared" si="0"/>
        <v>-1.5</v>
      </c>
      <c r="N48" s="35">
        <f t="shared" si="1"/>
        <v>1.5</v>
      </c>
      <c r="O48" s="35"/>
      <c r="P48" s="16"/>
      <c r="R48">
        <f>1/8</f>
        <v>0.125</v>
      </c>
      <c r="S48">
        <v>4</v>
      </c>
    </row>
    <row r="49" spans="1:19" x14ac:dyDescent="0.25">
      <c r="A49" s="34" t="s">
        <v>46</v>
      </c>
      <c r="B49" s="35">
        <v>105.5</v>
      </c>
      <c r="C49" s="35">
        <v>199</v>
      </c>
      <c r="D49" s="35"/>
      <c r="E49" s="9">
        <f>results_unroll_2__6[[#This Row],[cycles]]-CEILING(results_unroll_2__6[[#This Row],[insts]]/2,1)</f>
        <v>5.5</v>
      </c>
      <c r="F49" s="35"/>
      <c r="G49" s="41"/>
      <c r="H49" s="35"/>
      <c r="I49" s="9">
        <v>11</v>
      </c>
      <c r="J49" s="35"/>
      <c r="K49" s="16"/>
      <c r="L49" s="35"/>
      <c r="M49" s="9">
        <f t="shared" si="0"/>
        <v>-5.5</v>
      </c>
      <c r="N49" s="35">
        <f t="shared" si="1"/>
        <v>5.5</v>
      </c>
      <c r="O49" s="35"/>
      <c r="P49" s="16"/>
      <c r="R49">
        <f>1/10</f>
        <v>0.1</v>
      </c>
      <c r="S49">
        <v>5</v>
      </c>
    </row>
    <row r="50" spans="1:19" x14ac:dyDescent="0.25">
      <c r="A50" s="34" t="s">
        <v>47</v>
      </c>
      <c r="B50" s="35">
        <v>100.5</v>
      </c>
      <c r="C50" s="35">
        <v>199</v>
      </c>
      <c r="D50" s="35"/>
      <c r="E50" s="9">
        <f>results_unroll_2__6[[#This Row],[cycles]]-CEILING(results_unroll_2__6[[#This Row],[insts]]/2,1)</f>
        <v>0.5</v>
      </c>
      <c r="F50" s="35"/>
      <c r="G50" s="41"/>
      <c r="H50" s="35"/>
      <c r="I50" s="9">
        <v>8</v>
      </c>
      <c r="J50" s="35"/>
      <c r="K50" s="16"/>
      <c r="L50" s="35"/>
      <c r="M50" s="9">
        <f t="shared" si="0"/>
        <v>-7.5</v>
      </c>
      <c r="N50" s="35">
        <f t="shared" si="1"/>
        <v>7.5</v>
      </c>
      <c r="O50" s="35"/>
      <c r="P50" s="16"/>
      <c r="R50">
        <f>1/10</f>
        <v>0.1</v>
      </c>
      <c r="S50">
        <v>5</v>
      </c>
    </row>
    <row r="51" spans="1:19" x14ac:dyDescent="0.25">
      <c r="A51" s="34" t="s">
        <v>48</v>
      </c>
      <c r="B51" s="35">
        <v>102</v>
      </c>
      <c r="C51" s="35">
        <v>199</v>
      </c>
      <c r="D51" s="35"/>
      <c r="E51" s="9">
        <f>results_unroll_2__6[[#This Row],[cycles]]-CEILING(results_unroll_2__6[[#This Row],[insts]]/2,1)</f>
        <v>2</v>
      </c>
      <c r="F51" s="35"/>
      <c r="G51" s="41"/>
      <c r="H51" s="35"/>
      <c r="I51" s="9">
        <v>6</v>
      </c>
      <c r="J51" s="35"/>
      <c r="K51" s="16"/>
      <c r="L51" s="35"/>
      <c r="M51" s="9">
        <f t="shared" si="0"/>
        <v>-4</v>
      </c>
      <c r="N51" s="35">
        <f t="shared" si="1"/>
        <v>4</v>
      </c>
      <c r="O51" s="35"/>
      <c r="P51" s="16"/>
      <c r="R51">
        <f>1/10</f>
        <v>0.1</v>
      </c>
      <c r="S51">
        <v>5</v>
      </c>
    </row>
    <row r="52" spans="1:19" x14ac:dyDescent="0.25">
      <c r="A52" s="34" t="s">
        <v>49</v>
      </c>
      <c r="B52" s="35">
        <v>106</v>
      </c>
      <c r="C52" s="35">
        <v>199</v>
      </c>
      <c r="D52" s="35"/>
      <c r="E52" s="9">
        <f>results_unroll_2__6[[#This Row],[cycles]]-CEILING(results_unroll_2__6[[#This Row],[insts]]/2,1)</f>
        <v>6</v>
      </c>
      <c r="F52" s="35"/>
      <c r="G52" s="41"/>
      <c r="H52" s="35"/>
      <c r="I52" s="9">
        <v>9</v>
      </c>
      <c r="J52" s="35"/>
      <c r="K52" s="16"/>
      <c r="L52" s="35"/>
      <c r="M52" s="9">
        <f t="shared" si="0"/>
        <v>-3</v>
      </c>
      <c r="N52" s="35">
        <f t="shared" si="1"/>
        <v>3</v>
      </c>
      <c r="O52" s="35"/>
      <c r="P52" s="16"/>
      <c r="R52">
        <f>1/12</f>
        <v>8.3333333333333329E-2</v>
      </c>
      <c r="S52">
        <v>6</v>
      </c>
    </row>
    <row r="53" spans="1:19" x14ac:dyDescent="0.25">
      <c r="A53" s="34" t="s">
        <v>50</v>
      </c>
      <c r="B53" s="35">
        <v>104</v>
      </c>
      <c r="C53" s="35">
        <v>199</v>
      </c>
      <c r="D53" s="35"/>
      <c r="E53" s="9">
        <f>results_unroll_2__6[[#This Row],[cycles]]-CEILING(results_unroll_2__6[[#This Row],[insts]]/2,1)</f>
        <v>4</v>
      </c>
      <c r="F53" s="35"/>
      <c r="G53" s="41"/>
      <c r="H53" s="35"/>
      <c r="I53" s="9">
        <v>10</v>
      </c>
      <c r="J53" s="35"/>
      <c r="K53" s="16"/>
      <c r="L53" s="35"/>
      <c r="M53" s="9">
        <f t="shared" si="0"/>
        <v>-6</v>
      </c>
      <c r="N53" s="35">
        <f t="shared" si="1"/>
        <v>6</v>
      </c>
      <c r="O53" s="35"/>
      <c r="P53" s="16"/>
      <c r="R53">
        <f>1/12</f>
        <v>8.3333333333333329E-2</v>
      </c>
      <c r="S53">
        <v>6</v>
      </c>
    </row>
    <row r="54" spans="1:19" ht="15.75" thickBot="1" x14ac:dyDescent="0.3">
      <c r="A54" s="36" t="s">
        <v>51</v>
      </c>
      <c r="B54" s="13">
        <v>111</v>
      </c>
      <c r="C54" s="13">
        <v>199</v>
      </c>
      <c r="D54" s="13"/>
      <c r="E54" s="11">
        <f>results_unroll_2__6[[#This Row],[cycles]]-CEILING(results_unroll_2__6[[#This Row],[insts]]/2,1)</f>
        <v>11</v>
      </c>
      <c r="F54" s="13"/>
      <c r="G54" s="42"/>
      <c r="H54" s="13"/>
      <c r="I54" s="11">
        <v>11</v>
      </c>
      <c r="J54" s="13"/>
      <c r="K54" s="17"/>
      <c r="L54" s="13"/>
      <c r="M54" s="11">
        <f t="shared" si="0"/>
        <v>0</v>
      </c>
      <c r="N54" s="13">
        <f t="shared" si="1"/>
        <v>0</v>
      </c>
      <c r="O54" s="13"/>
      <c r="P54" s="17"/>
      <c r="R54">
        <f>1/12</f>
        <v>8.3333333333333329E-2</v>
      </c>
      <c r="S54">
        <v>6</v>
      </c>
    </row>
    <row r="56" spans="1:19" x14ac:dyDescent="0.25">
      <c r="A56" t="s">
        <v>77</v>
      </c>
    </row>
    <row r="58" spans="1:19" x14ac:dyDescent="0.25">
      <c r="A58" t="s">
        <v>83</v>
      </c>
    </row>
  </sheetData>
  <conditionalFormatting sqref="N2:N54">
    <cfRule type="colorScale" priority="1">
      <colorScale>
        <cfvo type="num" val="0"/>
        <cfvo type="max"/>
        <color theme="0"/>
        <color theme="5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556E10-7C69-4603-B40E-765E1EB4242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results_unroll_2_aug11</vt:lpstr>
      <vt:lpstr>results_unroll_2_aug13</vt:lpstr>
      <vt:lpstr>results_unroll_2 aug19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Parsons</dc:creator>
  <cp:lastModifiedBy>Hayden Parsons</cp:lastModifiedBy>
  <dcterms:created xsi:type="dcterms:W3CDTF">2026-08-11T15:59:12Z</dcterms:created>
  <dcterms:modified xsi:type="dcterms:W3CDTF">2026-08-19T15:03:01Z</dcterms:modified>
</cp:coreProperties>
</file>